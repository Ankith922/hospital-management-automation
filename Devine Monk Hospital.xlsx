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</sheets>
  <definedNames/>
  <calcPr/>
</workbook>
</file>

<file path=xl/sharedStrings.xml><?xml version="1.0" encoding="utf-8"?>
<sst xmlns="http://schemas.openxmlformats.org/spreadsheetml/2006/main" count="23" uniqueCount="23">
  <si>
    <t>DEVINE MONK HOSPITAL</t>
  </si>
  <si>
    <t xml:space="preserve">Patient ID </t>
  </si>
  <si>
    <t xml:space="preserve">Patient Name </t>
  </si>
  <si>
    <t xml:space="preserve">Patient Age </t>
  </si>
  <si>
    <t xml:space="preserve">Patient Gender </t>
  </si>
  <si>
    <t xml:space="preserve">Patient Ward </t>
  </si>
  <si>
    <t xml:space="preserve">Patient Admit Date </t>
  </si>
  <si>
    <t xml:space="preserve">Doctor's Name </t>
  </si>
  <si>
    <t xml:space="preserve">Ward Charge </t>
  </si>
  <si>
    <t xml:space="preserve">Discharge Date </t>
  </si>
  <si>
    <t xml:space="preserve">Number of Days </t>
  </si>
  <si>
    <t>Total Ward Charge</t>
  </si>
  <si>
    <t>Doctor Charge</t>
  </si>
  <si>
    <t xml:space="preserve">Medicine Name </t>
  </si>
  <si>
    <t>Medicine Charge</t>
  </si>
  <si>
    <t>Total Charge</t>
  </si>
  <si>
    <t>Dolo</t>
  </si>
  <si>
    <t>Chitrozene</t>
  </si>
  <si>
    <t>Parecetamol</t>
  </si>
  <si>
    <t>Tablets</t>
  </si>
  <si>
    <t xml:space="preserve">Enter the Patient Id : </t>
  </si>
  <si>
    <t>P001</t>
  </si>
  <si>
    <t>21/12/2024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</si>
</sst>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M/d/yyyy"/>
  </numFmts>
  <fonts count="6">
    <font>
      <sz val="10.0"/>
      <color rgb="FF000000"/>
      <name val="Arial"/>
      <scheme val="minor"/>
    </font>
    <font>
      <sz val="21.0"/>
      <color rgb="FFCC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b/>
      <sz val="17.0"/>
      <color rgb="FFFF0000"/>
      <name val="Arial"/>
      <scheme val="minor"/>
    </font>
    <font>
      <sz val="2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0" fillId="4" fontId="3" numFmtId="0" xfId="0" applyAlignment="1" applyFont="1">
      <alignment horizontal="left"/>
    </xf>
    <xf borderId="1" fillId="4" fontId="2" numFmtId="164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left"/>
    </xf>
    <xf borderId="1" fillId="4" fontId="2" numFmtId="165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/>
    </xf>
    <xf borderId="0" fillId="5" fontId="4" numFmtId="0" xfId="0" applyAlignment="1" applyFill="1" applyFont="1">
      <alignment readingOrder="0" vertical="center"/>
    </xf>
    <xf borderId="0" fillId="6" fontId="5" numFmtId="0" xfId="0" applyAlignment="1" applyFill="1" applyFont="1">
      <alignment readingOrder="0" vertical="center"/>
    </xf>
    <xf borderId="0" fillId="0" fontId="2" numFmtId="0" xfId="0" applyAlignment="1" applyFont="1">
      <alignment readingOrder="0"/>
    </xf>
    <xf borderId="1" fillId="4" fontId="2" numFmtId="14" xfId="0" applyAlignment="1" applyBorder="1" applyFont="1" applyNumberFormat="1">
      <alignment horizontal="center"/>
    </xf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752475</xdr:colOff>
      <xdr:row>14</xdr:row>
      <xdr:rowOff>152400</xdr:rowOff>
    </xdr:from>
    <xdr:ext cx="5934075" cy="857250"/>
    <xdr:grpSp>
      <xdr:nvGrpSpPr>
        <xdr:cNvPr id="2" name="Shape 2" title="Drawing"/>
        <xdr:cNvGrpSpPr/>
      </xdr:nvGrpSpPr>
      <xdr:grpSpPr>
        <a:xfrm>
          <a:off x="1625875" y="1291150"/>
          <a:ext cx="5481100" cy="838500"/>
          <a:chOff x="1625875" y="1291150"/>
          <a:chExt cx="5481100" cy="838500"/>
        </a:xfrm>
      </xdr:grpSpPr>
      <xdr:sp>
        <xdr:nvSpPr>
          <xdr:cNvPr id="3" name="Shape 3"/>
          <xdr:cNvSpPr/>
        </xdr:nvSpPr>
        <xdr:spPr>
          <a:xfrm>
            <a:off x="1757125" y="1291150"/>
            <a:ext cx="3732300" cy="838500"/>
          </a:xfrm>
          <a:prstGeom prst="roundRect">
            <a:avLst>
              <a:gd fmla="val 16667" name="adj"/>
            </a:avLst>
          </a:prstGeom>
          <a:solidFill>
            <a:srgbClr val="38761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259875" y="1456450"/>
            <a:ext cx="4847100" cy="507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100"/>
              <a:t>GENERATE INVOICE</a:t>
            </a:r>
            <a:endParaRPr sz="2100"/>
          </a:p>
        </xdr:txBody>
      </xdr:sp>
      <xdr:sp>
        <xdr:nvSpPr>
          <xdr:cNvPr id="5" name="Shape 5"/>
          <xdr:cNvSpPr txBox="1"/>
        </xdr:nvSpPr>
        <xdr:spPr>
          <a:xfrm>
            <a:off x="1625875" y="1456450"/>
            <a:ext cx="3292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6.75"/>
    <col customWidth="1" min="6" max="6" width="21.75"/>
    <col customWidth="1" min="7" max="7" width="17.5"/>
    <col customWidth="1" min="8" max="8" width="13.63"/>
    <col customWidth="1" min="11" max="11" width="24.0"/>
    <col customWidth="1" min="12" max="12" width="14.25"/>
    <col customWidth="1" min="14" max="15" width="14.38"/>
    <col customWidth="1" min="18" max="18" width="37.0"/>
    <col customWidth="1" min="19" max="19" width="17.25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  <c r="N3" s="2" t="s">
        <v>13</v>
      </c>
      <c r="O3" s="2" t="s">
        <v>14</v>
      </c>
      <c r="P3" s="3" t="s">
        <v>15</v>
      </c>
    </row>
    <row r="4">
      <c r="B4" s="4" t="str">
        <f t="shared" ref="B4:B60" si="1">IF(C4&lt;&gt;"", "P" &amp; TEXT(ROW(B4)-3, "000"), "")</f>
        <v>P001</v>
      </c>
      <c r="C4" s="5" t="str">
        <f>IFERROR(__xludf.DUMMYFUNCTION("QUERY(IMPORTRANGE(""https://docs.google.com/spreadsheets/d/1Yoe9uXOF1mQLlBjPOKY6R0d17_qO7zRSMqXJQtnBk4Y/edit"",""Responses!B2:G"")
)"),"Jonah")</f>
        <v>Jonah</v>
      </c>
      <c r="D4" s="4">
        <f>IFERROR(__xludf.DUMMYFUNCTION("""COMPUTED_VALUE"""),24.0)</f>
        <v>24</v>
      </c>
      <c r="E4" s="4" t="str">
        <f>IFERROR(__xludf.DUMMYFUNCTION("""COMPUTED_VALUE"""),"Female")</f>
        <v>Female</v>
      </c>
      <c r="F4" s="4" t="str">
        <f>IFERROR(__xludf.DUMMYFUNCTION("""COMPUTED_VALUE"""),"General Ward")</f>
        <v>General Ward</v>
      </c>
      <c r="G4" s="6">
        <f>IFERROR(__xludf.DUMMYFUNCTION("""COMPUTED_VALUE"""),44927.0)</f>
        <v>44927</v>
      </c>
      <c r="H4" s="7" t="str">
        <f>IFERROR(__xludf.DUMMYFUNCTION("""COMPUTED_VALUE"""),"Dr. Albert")</f>
        <v>Dr. Albert</v>
      </c>
      <c r="I4" s="4">
        <f t="shared" ref="I4:I15" si="2">IFS(
    F4="General Ward", 1000,
    F4="Multiple Sharing Ward", 3000,
    F4="Twin Sharing Ward", 2500,
    F4="Emergency Ward", 4000,
    F4="ICU Ward", 6000
)</f>
        <v>1000</v>
      </c>
      <c r="J4" s="8">
        <v>44931.0</v>
      </c>
      <c r="K4" s="4">
        <f t="shared" ref="K4:K14" si="3">DATEDIF(G4, J4, "D")</f>
        <v>4</v>
      </c>
      <c r="L4" s="4">
        <f t="shared" ref="L4:L15" si="4">I4*K4</f>
        <v>4000</v>
      </c>
      <c r="M4" s="4">
        <f t="shared" ref="M4:M15" si="5">IFS( H4="Dr. Albert", 1000, H4="Dr. Alexander", 3000, H4="Dr. Cameron", 2500,H4="Dr. Drew",3000)</f>
        <v>1000</v>
      </c>
      <c r="N4" s="9" t="s">
        <v>16</v>
      </c>
      <c r="O4" s="9">
        <v>5.0</v>
      </c>
      <c r="P4" s="4">
        <f t="shared" ref="P4:P7" si="6">SUM(I4,L4,M4)</f>
        <v>6000</v>
      </c>
    </row>
    <row r="5">
      <c r="B5" s="4" t="str">
        <f t="shared" si="1"/>
        <v>P002</v>
      </c>
      <c r="C5" s="10" t="str">
        <f>IFERROR(__xludf.DUMMYFUNCTION("""COMPUTED_VALUE"""),"John")</f>
        <v>John</v>
      </c>
      <c r="D5" s="4">
        <f>IFERROR(__xludf.DUMMYFUNCTION("""COMPUTED_VALUE"""),25.0)</f>
        <v>25</v>
      </c>
      <c r="E5" s="4" t="str">
        <f>IFERROR(__xludf.DUMMYFUNCTION("""COMPUTED_VALUE"""),"Male")</f>
        <v>Male</v>
      </c>
      <c r="F5" s="4" t="str">
        <f>IFERROR(__xludf.DUMMYFUNCTION("""COMPUTED_VALUE"""),"Multiple Sharing Ward")</f>
        <v>Multiple Sharing Ward</v>
      </c>
      <c r="G5" s="6">
        <f>IFERROR(__xludf.DUMMYFUNCTION("""COMPUTED_VALUE"""),44928.0)</f>
        <v>44928</v>
      </c>
      <c r="H5" s="7" t="str">
        <f>IFERROR(__xludf.DUMMYFUNCTION("""COMPUTED_VALUE"""),"Dr. Alexander")</f>
        <v>Dr. Alexander</v>
      </c>
      <c r="I5" s="4">
        <f t="shared" si="2"/>
        <v>3000</v>
      </c>
      <c r="J5" s="8">
        <v>44931.0</v>
      </c>
      <c r="K5" s="4">
        <f t="shared" si="3"/>
        <v>3</v>
      </c>
      <c r="L5" s="4">
        <f t="shared" si="4"/>
        <v>9000</v>
      </c>
      <c r="M5" s="4">
        <f t="shared" si="5"/>
        <v>3000</v>
      </c>
      <c r="N5" s="9" t="s">
        <v>17</v>
      </c>
      <c r="O5" s="9"/>
      <c r="P5" s="4">
        <f t="shared" si="6"/>
        <v>15000</v>
      </c>
    </row>
    <row r="6">
      <c r="B6" s="4" t="str">
        <f t="shared" si="1"/>
        <v>P003</v>
      </c>
      <c r="C6" s="10" t="str">
        <f>IFERROR(__xludf.DUMMYFUNCTION("""COMPUTED_VALUE"""),"Jeremiah")</f>
        <v>Jeremiah</v>
      </c>
      <c r="D6" s="4">
        <f>IFERROR(__xludf.DUMMYFUNCTION("""COMPUTED_VALUE"""),26.0)</f>
        <v>26</v>
      </c>
      <c r="E6" s="4" t="str">
        <f>IFERROR(__xludf.DUMMYFUNCTION("""COMPUTED_VALUE"""),"Female")</f>
        <v>Female</v>
      </c>
      <c r="F6" s="4" t="str">
        <f>IFERROR(__xludf.DUMMYFUNCTION("""COMPUTED_VALUE"""),"Twin Sharing Ward")</f>
        <v>Twin Sharing Ward</v>
      </c>
      <c r="G6" s="6">
        <f>IFERROR(__xludf.DUMMYFUNCTION("""COMPUTED_VALUE"""),44929.0)</f>
        <v>44929</v>
      </c>
      <c r="H6" s="7" t="str">
        <f>IFERROR(__xludf.DUMMYFUNCTION("""COMPUTED_VALUE"""),"Dr. Albert")</f>
        <v>Dr. Albert</v>
      </c>
      <c r="I6" s="4">
        <f t="shared" si="2"/>
        <v>2500</v>
      </c>
      <c r="J6" s="8">
        <v>44932.0</v>
      </c>
      <c r="K6" s="4">
        <f t="shared" si="3"/>
        <v>3</v>
      </c>
      <c r="L6" s="4">
        <f t="shared" si="4"/>
        <v>7500</v>
      </c>
      <c r="M6" s="4">
        <f t="shared" si="5"/>
        <v>1000</v>
      </c>
      <c r="N6" s="9" t="s">
        <v>18</v>
      </c>
      <c r="O6" s="9"/>
      <c r="P6" s="4">
        <f t="shared" si="6"/>
        <v>11000</v>
      </c>
    </row>
    <row r="7">
      <c r="B7" s="4" t="str">
        <f t="shared" si="1"/>
        <v>P004</v>
      </c>
      <c r="C7" s="10" t="str">
        <f>IFERROR(__xludf.DUMMYFUNCTION("""COMPUTED_VALUE"""),"James ")</f>
        <v>James </v>
      </c>
      <c r="D7" s="4">
        <f>IFERROR(__xludf.DUMMYFUNCTION("""COMPUTED_VALUE"""),28.0)</f>
        <v>28</v>
      </c>
      <c r="E7" s="4" t="str">
        <f>IFERROR(__xludf.DUMMYFUNCTION("""COMPUTED_VALUE"""),"Male")</f>
        <v>Male</v>
      </c>
      <c r="F7" s="4" t="str">
        <f>IFERROR(__xludf.DUMMYFUNCTION("""COMPUTED_VALUE"""),"ICU Ward")</f>
        <v>ICU Ward</v>
      </c>
      <c r="G7" s="6">
        <f>IFERROR(__xludf.DUMMYFUNCTION("""COMPUTED_VALUE"""),44566.0)</f>
        <v>44566</v>
      </c>
      <c r="H7" s="7" t="str">
        <f>IFERROR(__xludf.DUMMYFUNCTION("""COMPUTED_VALUE"""),"Dr. Cameron")</f>
        <v>Dr. Cameron</v>
      </c>
      <c r="I7" s="4">
        <f t="shared" si="2"/>
        <v>6000</v>
      </c>
      <c r="J7" s="8">
        <v>44568.0</v>
      </c>
      <c r="K7" s="4">
        <f t="shared" si="3"/>
        <v>2</v>
      </c>
      <c r="L7" s="4">
        <f t="shared" si="4"/>
        <v>12000</v>
      </c>
      <c r="M7" s="4">
        <f t="shared" si="5"/>
        <v>2500</v>
      </c>
      <c r="N7" s="9" t="s">
        <v>19</v>
      </c>
      <c r="O7" s="9"/>
      <c r="P7" s="4">
        <f t="shared" si="6"/>
        <v>20500</v>
      </c>
    </row>
    <row r="8">
      <c r="B8" s="4" t="str">
        <f t="shared" si="1"/>
        <v>P005</v>
      </c>
      <c r="C8" s="10" t="str">
        <f>IFERROR(__xludf.DUMMYFUNCTION("""COMPUTED_VALUE"""),"Jean ")</f>
        <v>Jean </v>
      </c>
      <c r="D8" s="4">
        <f>IFERROR(__xludf.DUMMYFUNCTION("""COMPUTED_VALUE"""),29.0)</f>
        <v>29</v>
      </c>
      <c r="E8" s="4" t="str">
        <f>IFERROR(__xludf.DUMMYFUNCTION("""COMPUTED_VALUE"""),"Female")</f>
        <v>Female</v>
      </c>
      <c r="F8" s="4" t="str">
        <f>IFERROR(__xludf.DUMMYFUNCTION("""COMPUTED_VALUE"""),"Emergency Ward")</f>
        <v>Emergency Ward</v>
      </c>
      <c r="G8" s="6">
        <f>IFERROR(__xludf.DUMMYFUNCTION("""COMPUTED_VALUE"""),44932.0)</f>
        <v>44932</v>
      </c>
      <c r="H8" s="7" t="str">
        <f>IFERROR(__xludf.DUMMYFUNCTION("""COMPUTED_VALUE"""),"Dr. Drew")</f>
        <v>Dr. Drew</v>
      </c>
      <c r="I8" s="4">
        <f t="shared" si="2"/>
        <v>4000</v>
      </c>
      <c r="J8" s="8">
        <v>44934.0</v>
      </c>
      <c r="K8" s="4">
        <f t="shared" si="3"/>
        <v>2</v>
      </c>
      <c r="L8" s="4">
        <f t="shared" si="4"/>
        <v>8000</v>
      </c>
      <c r="M8" s="4">
        <f t="shared" si="5"/>
        <v>3000</v>
      </c>
      <c r="N8" s="4"/>
      <c r="O8" s="4"/>
      <c r="P8" s="4"/>
    </row>
    <row r="9">
      <c r="B9" s="4" t="str">
        <f t="shared" si="1"/>
        <v>P006</v>
      </c>
      <c r="C9" s="10" t="str">
        <f>IFERROR(__xludf.DUMMYFUNCTION("""COMPUTED_VALUE"""),"Ayush Jain ")</f>
        <v>Ayush Jain </v>
      </c>
      <c r="D9" s="4">
        <f>IFERROR(__xludf.DUMMYFUNCTION("""COMPUTED_VALUE"""),18.0)</f>
        <v>18</v>
      </c>
      <c r="E9" s="4" t="str">
        <f>IFERROR(__xludf.DUMMYFUNCTION("""COMPUTED_VALUE"""),"Male")</f>
        <v>Male</v>
      </c>
      <c r="F9" s="4" t="str">
        <f>IFERROR(__xludf.DUMMYFUNCTION("""COMPUTED_VALUE"""),"ICU Ward")</f>
        <v>ICU Ward</v>
      </c>
      <c r="G9" s="6">
        <f>IFERROR(__xludf.DUMMYFUNCTION("""COMPUTED_VALUE"""),45561.0)</f>
        <v>45561</v>
      </c>
      <c r="H9" s="7" t="str">
        <f>IFERROR(__xludf.DUMMYFUNCTION("""COMPUTED_VALUE"""),"Dr. Alexander")</f>
        <v>Dr. Alexander</v>
      </c>
      <c r="I9" s="4">
        <f t="shared" si="2"/>
        <v>6000</v>
      </c>
      <c r="J9" s="8">
        <v>45565.0</v>
      </c>
      <c r="K9" s="4">
        <f t="shared" si="3"/>
        <v>4</v>
      </c>
      <c r="L9" s="4">
        <f t="shared" si="4"/>
        <v>24000</v>
      </c>
      <c r="M9" s="4">
        <f t="shared" si="5"/>
        <v>3000</v>
      </c>
      <c r="N9" s="4"/>
      <c r="O9" s="4"/>
      <c r="P9" s="4"/>
    </row>
    <row r="10">
      <c r="B10" s="4" t="str">
        <f t="shared" si="1"/>
        <v>P007</v>
      </c>
      <c r="C10" s="10" t="str">
        <f>IFERROR(__xludf.DUMMYFUNCTION("""COMPUTED_VALUE"""),"Ayush Jain 2")</f>
        <v>Ayush Jain 2</v>
      </c>
      <c r="D10" s="4">
        <f>IFERROR(__xludf.DUMMYFUNCTION("""COMPUTED_VALUE"""),50.0)</f>
        <v>50</v>
      </c>
      <c r="E10" s="4" t="str">
        <f>IFERROR(__xludf.DUMMYFUNCTION("""COMPUTED_VALUE"""),"Female")</f>
        <v>Female</v>
      </c>
      <c r="F10" s="4" t="str">
        <f>IFERROR(__xludf.DUMMYFUNCTION("""COMPUTED_VALUE"""),"Emergency Ward")</f>
        <v>Emergency Ward</v>
      </c>
      <c r="G10" s="6">
        <f>IFERROR(__xludf.DUMMYFUNCTION("""COMPUTED_VALUE"""),44956.0)</f>
        <v>44956</v>
      </c>
      <c r="H10" s="7" t="str">
        <f>IFERROR(__xludf.DUMMYFUNCTION("""COMPUTED_VALUE"""),"Dr. Albert")</f>
        <v>Dr. Albert</v>
      </c>
      <c r="I10" s="4">
        <f t="shared" si="2"/>
        <v>4000</v>
      </c>
      <c r="J10" s="8">
        <v>44961.0</v>
      </c>
      <c r="K10" s="4">
        <f t="shared" si="3"/>
        <v>5</v>
      </c>
      <c r="L10" s="4">
        <f t="shared" si="4"/>
        <v>20000</v>
      </c>
      <c r="M10" s="4">
        <f t="shared" si="5"/>
        <v>1000</v>
      </c>
      <c r="N10" s="4"/>
      <c r="O10" s="4"/>
      <c r="P10" s="4"/>
    </row>
    <row r="11">
      <c r="B11" s="4" t="str">
        <f t="shared" si="1"/>
        <v>P008</v>
      </c>
      <c r="C11" s="7" t="str">
        <f>IFERROR(__xludf.DUMMYFUNCTION("""COMPUTED_VALUE"""),"Vineeth")</f>
        <v>Vineeth</v>
      </c>
      <c r="D11" s="11">
        <f>IFERROR(__xludf.DUMMYFUNCTION("""COMPUTED_VALUE"""),18.0)</f>
        <v>18</v>
      </c>
      <c r="E11" s="4" t="str">
        <f>IFERROR(__xludf.DUMMYFUNCTION("""COMPUTED_VALUE"""),"Male")</f>
        <v>Male</v>
      </c>
      <c r="F11" s="4" t="str">
        <f>IFERROR(__xludf.DUMMYFUNCTION("""COMPUTED_VALUE"""),"Multiple Sharing Ward")</f>
        <v>Multiple Sharing Ward</v>
      </c>
      <c r="G11" s="6">
        <f>IFERROR(__xludf.DUMMYFUNCTION("""COMPUTED_VALUE"""),45628.0)</f>
        <v>45628</v>
      </c>
      <c r="H11" s="7" t="str">
        <f>IFERROR(__xludf.DUMMYFUNCTION("""COMPUTED_VALUE"""),"Dr. Drew")</f>
        <v>Dr. Drew</v>
      </c>
      <c r="I11" s="4">
        <f t="shared" si="2"/>
        <v>3000</v>
      </c>
      <c r="J11" s="8">
        <v>45637.0</v>
      </c>
      <c r="K11" s="4">
        <f t="shared" si="3"/>
        <v>9</v>
      </c>
      <c r="L11" s="4">
        <f t="shared" si="4"/>
        <v>27000</v>
      </c>
      <c r="M11" s="4">
        <f t="shared" si="5"/>
        <v>3000</v>
      </c>
      <c r="N11" s="4"/>
      <c r="O11" s="4"/>
      <c r="P11" s="4"/>
    </row>
    <row r="12">
      <c r="B12" s="4" t="str">
        <f t="shared" si="1"/>
        <v>P009</v>
      </c>
      <c r="C12" s="7" t="str">
        <f>IFERROR(__xludf.DUMMYFUNCTION("""COMPUTED_VALUE"""),"ADSDSD")</f>
        <v>ADSDSD</v>
      </c>
      <c r="D12" s="4">
        <f>IFERROR(__xludf.DUMMYFUNCTION("""COMPUTED_VALUE"""),23.0)</f>
        <v>23</v>
      </c>
      <c r="E12" s="4" t="str">
        <f>IFERROR(__xludf.DUMMYFUNCTION("""COMPUTED_VALUE"""),"Male")</f>
        <v>Male</v>
      </c>
      <c r="F12" s="4" t="str">
        <f>IFERROR(__xludf.DUMMYFUNCTION("""COMPUTED_VALUE"""),"Emergency Ward")</f>
        <v>Emergency Ward</v>
      </c>
      <c r="G12" s="6">
        <f>IFERROR(__xludf.DUMMYFUNCTION("""COMPUTED_VALUE"""),45646.0)</f>
        <v>45646</v>
      </c>
      <c r="H12" s="7" t="str">
        <f>IFERROR(__xludf.DUMMYFUNCTION("""COMPUTED_VALUE"""),"Dr. Cameron")</f>
        <v>Dr. Cameron</v>
      </c>
      <c r="I12" s="4">
        <f t="shared" si="2"/>
        <v>4000</v>
      </c>
      <c r="J12" s="8">
        <v>45656.0</v>
      </c>
      <c r="K12" s="4">
        <f t="shared" si="3"/>
        <v>10</v>
      </c>
      <c r="L12" s="4">
        <f t="shared" si="4"/>
        <v>40000</v>
      </c>
      <c r="M12" s="4">
        <f t="shared" si="5"/>
        <v>2500</v>
      </c>
      <c r="N12" s="4"/>
      <c r="O12" s="4"/>
      <c r="P12" s="4"/>
      <c r="R12" s="12" t="s">
        <v>20</v>
      </c>
      <c r="S12" s="13" t="s">
        <v>21</v>
      </c>
    </row>
    <row r="13">
      <c r="B13" s="4" t="str">
        <f t="shared" si="1"/>
        <v>P010</v>
      </c>
      <c r="C13" s="7" t="str">
        <f>IFERROR(__xludf.DUMMYFUNCTION("""COMPUTED_VALUE"""),"Genshin impact")</f>
        <v>Genshin impact</v>
      </c>
      <c r="D13" s="4">
        <f>IFERROR(__xludf.DUMMYFUNCTION("""COMPUTED_VALUE"""),36.0)</f>
        <v>36</v>
      </c>
      <c r="E13" s="4" t="str">
        <f>IFERROR(__xludf.DUMMYFUNCTION("""COMPUTED_VALUE"""),"Male")</f>
        <v>Male</v>
      </c>
      <c r="F13" s="4" t="str">
        <f>IFERROR(__xludf.DUMMYFUNCTION("""COMPUTED_VALUE"""),"ICU Ward")</f>
        <v>ICU Ward</v>
      </c>
      <c r="G13" s="6">
        <f>IFERROR(__xludf.DUMMYFUNCTION("""COMPUTED_VALUE"""),45646.0)</f>
        <v>45646</v>
      </c>
      <c r="H13" s="7" t="str">
        <f>IFERROR(__xludf.DUMMYFUNCTION("""COMPUTED_VALUE"""),"Dr. Albert")</f>
        <v>Dr. Albert</v>
      </c>
      <c r="I13" s="4">
        <f t="shared" si="2"/>
        <v>6000</v>
      </c>
      <c r="J13" s="8">
        <v>45647.0</v>
      </c>
      <c r="K13" s="4">
        <f t="shared" si="3"/>
        <v>1</v>
      </c>
      <c r="L13" s="4">
        <f t="shared" si="4"/>
        <v>6000</v>
      </c>
      <c r="M13" s="4">
        <f t="shared" si="5"/>
        <v>1000</v>
      </c>
      <c r="N13" s="4"/>
      <c r="O13" s="4"/>
      <c r="P13" s="4"/>
    </row>
    <row r="14">
      <c r="B14" s="4" t="str">
        <f t="shared" si="1"/>
        <v>P011</v>
      </c>
      <c r="C14" s="7" t="str">
        <f>IFERROR(__xludf.DUMMYFUNCTION("""COMPUTED_VALUE"""),"Harshith")</f>
        <v>Harshith</v>
      </c>
      <c r="D14" s="4">
        <f>IFERROR(__xludf.DUMMYFUNCTION("""COMPUTED_VALUE"""),27.0)</f>
        <v>27</v>
      </c>
      <c r="E14" s="4" t="str">
        <f>IFERROR(__xludf.DUMMYFUNCTION("""COMPUTED_VALUE"""),"Male")</f>
        <v>Male</v>
      </c>
      <c r="F14" s="4" t="str">
        <f>IFERROR(__xludf.DUMMYFUNCTION("""COMPUTED_VALUE"""),"General Ward")</f>
        <v>General Ward</v>
      </c>
      <c r="G14" s="6">
        <f>IFERROR(__xludf.DUMMYFUNCTION("""COMPUTED_VALUE"""),45627.0)</f>
        <v>45627</v>
      </c>
      <c r="H14" s="7" t="str">
        <f>IFERROR(__xludf.DUMMYFUNCTION("""COMPUTED_VALUE"""),"Dr. Alexander")</f>
        <v>Dr. Alexander</v>
      </c>
      <c r="I14" s="4">
        <f t="shared" si="2"/>
        <v>1000</v>
      </c>
      <c r="J14" s="8">
        <v>45640.0</v>
      </c>
      <c r="K14" s="4">
        <f t="shared" si="3"/>
        <v>13</v>
      </c>
      <c r="L14" s="4">
        <f t="shared" si="4"/>
        <v>13000</v>
      </c>
      <c r="M14" s="4">
        <f t="shared" si="5"/>
        <v>3000</v>
      </c>
      <c r="N14" s="4"/>
      <c r="O14" s="4"/>
      <c r="P14" s="4"/>
      <c r="T14" s="14"/>
    </row>
    <row r="15">
      <c r="B15" s="4" t="str">
        <f t="shared" si="1"/>
        <v>P012</v>
      </c>
      <c r="C15" s="7" t="str">
        <f>IFERROR(__xludf.DUMMYFUNCTION("""COMPUTED_VALUE"""),"Vipin")</f>
        <v>Vipin</v>
      </c>
      <c r="D15" s="4">
        <f>IFERROR(__xludf.DUMMYFUNCTION("""COMPUTED_VALUE"""),43.0)</f>
        <v>43</v>
      </c>
      <c r="E15" s="4" t="str">
        <f>IFERROR(__xludf.DUMMYFUNCTION("""COMPUTED_VALUE"""),"Male")</f>
        <v>Male</v>
      </c>
      <c r="F15" s="4" t="str">
        <f>IFERROR(__xludf.DUMMYFUNCTION("""COMPUTED_VALUE"""),"Multiple Sharing Ward")</f>
        <v>Multiple Sharing Ward</v>
      </c>
      <c r="G15" s="6">
        <f>IFERROR(__xludf.DUMMYFUNCTION("""COMPUTED_VALUE"""),45636.0)</f>
        <v>45636</v>
      </c>
      <c r="H15" s="7" t="str">
        <f>IFERROR(__xludf.DUMMYFUNCTION("""COMPUTED_VALUE"""),"Dr. Albert")</f>
        <v>Dr. Albert</v>
      </c>
      <c r="I15" s="4">
        <f t="shared" si="2"/>
        <v>3000</v>
      </c>
      <c r="J15" s="8" t="s">
        <v>22</v>
      </c>
      <c r="K15" s="4"/>
      <c r="L15" s="4">
        <f t="shared" si="4"/>
        <v>0</v>
      </c>
      <c r="M15" s="4">
        <f t="shared" si="5"/>
        <v>1000</v>
      </c>
      <c r="N15" s="4"/>
      <c r="O15" s="4"/>
      <c r="P15" s="4"/>
    </row>
    <row r="16">
      <c r="B16" s="4" t="str">
        <f t="shared" si="1"/>
        <v/>
      </c>
      <c r="C16" s="7"/>
      <c r="D16" s="4"/>
      <c r="E16" s="4"/>
      <c r="F16" s="4"/>
      <c r="G16" s="15"/>
      <c r="H16" s="4"/>
      <c r="I16" s="4"/>
      <c r="J16" s="4"/>
      <c r="K16" s="4"/>
      <c r="L16" s="4"/>
      <c r="M16" s="4"/>
      <c r="N16" s="4"/>
      <c r="O16" s="4"/>
      <c r="P16" s="4"/>
    </row>
    <row r="17">
      <c r="B17" s="4" t="str">
        <f t="shared" si="1"/>
        <v/>
      </c>
      <c r="C17" s="7"/>
      <c r="D17" s="4"/>
      <c r="E17" s="4"/>
      <c r="F17" s="4"/>
      <c r="G17" s="15"/>
      <c r="H17" s="4"/>
      <c r="I17" s="4"/>
      <c r="J17" s="4"/>
      <c r="K17" s="4"/>
      <c r="L17" s="4"/>
      <c r="M17" s="4"/>
      <c r="N17" s="4"/>
      <c r="O17" s="4"/>
      <c r="P17" s="4"/>
    </row>
    <row r="18">
      <c r="B18" s="4" t="str">
        <f t="shared" si="1"/>
        <v/>
      </c>
      <c r="C18" s="7"/>
      <c r="D18" s="4"/>
      <c r="E18" s="4"/>
      <c r="F18" s="4"/>
      <c r="G18" s="15"/>
      <c r="H18" s="4"/>
      <c r="I18" s="4"/>
      <c r="J18" s="4"/>
      <c r="K18" s="4"/>
      <c r="L18" s="4"/>
      <c r="M18" s="4"/>
      <c r="N18" s="4"/>
      <c r="O18" s="4"/>
      <c r="P18" s="4"/>
    </row>
    <row r="19">
      <c r="B19" s="4" t="str">
        <f t="shared" si="1"/>
        <v/>
      </c>
      <c r="C19" s="7"/>
      <c r="D19" s="4"/>
      <c r="E19" s="4"/>
      <c r="F19" s="4"/>
      <c r="G19" s="15"/>
      <c r="H19" s="4"/>
      <c r="I19" s="4"/>
      <c r="J19" s="4"/>
      <c r="K19" s="4"/>
      <c r="L19" s="4"/>
      <c r="M19" s="4"/>
      <c r="N19" s="4"/>
      <c r="O19" s="4"/>
      <c r="P19" s="4"/>
    </row>
    <row r="20">
      <c r="B20" s="4" t="str">
        <f t="shared" si="1"/>
        <v/>
      </c>
      <c r="C20" s="7"/>
      <c r="D20" s="4"/>
      <c r="E20" s="4"/>
      <c r="F20" s="4"/>
      <c r="G20" s="15"/>
      <c r="H20" s="4"/>
      <c r="I20" s="4"/>
      <c r="J20" s="4"/>
      <c r="K20" s="4"/>
      <c r="L20" s="4"/>
      <c r="M20" s="4"/>
      <c r="N20" s="4"/>
      <c r="O20" s="4"/>
      <c r="P20" s="4"/>
    </row>
    <row r="21">
      <c r="B21" s="4" t="str">
        <f t="shared" si="1"/>
        <v/>
      </c>
      <c r="C21" s="7"/>
      <c r="D21" s="4"/>
      <c r="E21" s="4"/>
      <c r="F21" s="4"/>
      <c r="G21" s="15"/>
      <c r="H21" s="4"/>
      <c r="I21" s="4"/>
      <c r="J21" s="4"/>
      <c r="K21" s="4"/>
      <c r="L21" s="4"/>
      <c r="M21" s="4"/>
      <c r="N21" s="4"/>
      <c r="O21" s="4"/>
      <c r="P21" s="4"/>
    </row>
    <row r="22">
      <c r="B22" s="4" t="str">
        <f t="shared" si="1"/>
        <v/>
      </c>
      <c r="C22" s="7"/>
      <c r="D22" s="4"/>
      <c r="E22" s="4"/>
      <c r="F22" s="4"/>
      <c r="G22" s="15"/>
      <c r="H22" s="4"/>
      <c r="I22" s="4"/>
      <c r="J22" s="4"/>
      <c r="K22" s="4"/>
      <c r="L22" s="4"/>
      <c r="M22" s="4"/>
      <c r="N22" s="4"/>
      <c r="O22" s="4"/>
      <c r="P22" s="4"/>
    </row>
    <row r="23">
      <c r="B23" s="4" t="str">
        <f t="shared" si="1"/>
        <v/>
      </c>
      <c r="C23" s="7"/>
      <c r="D23" s="4"/>
      <c r="E23" s="4"/>
      <c r="F23" s="4"/>
      <c r="G23" s="15"/>
      <c r="H23" s="4"/>
      <c r="I23" s="4"/>
      <c r="J23" s="4"/>
      <c r="K23" s="4"/>
      <c r="L23" s="4"/>
      <c r="M23" s="4"/>
      <c r="N23" s="4"/>
      <c r="O23" s="4"/>
      <c r="P23" s="4"/>
    </row>
    <row r="24">
      <c r="B24" s="4" t="str">
        <f t="shared" si="1"/>
        <v/>
      </c>
      <c r="C24" s="7"/>
      <c r="D24" s="4"/>
      <c r="E24" s="4"/>
      <c r="F24" s="4"/>
      <c r="G24" s="15"/>
      <c r="H24" s="4"/>
      <c r="I24" s="4"/>
      <c r="J24" s="4"/>
      <c r="K24" s="4"/>
      <c r="L24" s="4"/>
      <c r="M24" s="4"/>
      <c r="N24" s="4"/>
      <c r="O24" s="4"/>
      <c r="P24" s="4"/>
    </row>
    <row r="25">
      <c r="B25" s="4" t="str">
        <f t="shared" si="1"/>
        <v/>
      </c>
      <c r="C25" s="7"/>
      <c r="D25" s="4"/>
      <c r="E25" s="4"/>
      <c r="F25" s="4"/>
      <c r="G25" s="15"/>
      <c r="H25" s="4"/>
      <c r="I25" s="4"/>
      <c r="J25" s="4"/>
      <c r="K25" s="4"/>
      <c r="L25" s="4"/>
      <c r="M25" s="4"/>
      <c r="N25" s="4"/>
      <c r="O25" s="4"/>
      <c r="P25" s="4"/>
    </row>
    <row r="26">
      <c r="B26" s="4" t="str">
        <f t="shared" si="1"/>
        <v/>
      </c>
      <c r="C26" s="7"/>
      <c r="D26" s="4"/>
      <c r="E26" s="4"/>
      <c r="F26" s="4"/>
      <c r="G26" s="15"/>
      <c r="H26" s="4"/>
      <c r="I26" s="4"/>
      <c r="J26" s="4"/>
      <c r="K26" s="4"/>
      <c r="L26" s="4"/>
      <c r="M26" s="4"/>
      <c r="N26" s="4"/>
      <c r="O26" s="4"/>
      <c r="P26" s="4"/>
    </row>
    <row r="27">
      <c r="B27" s="4" t="str">
        <f t="shared" si="1"/>
        <v/>
      </c>
      <c r="C27" s="7"/>
      <c r="D27" s="4"/>
      <c r="E27" s="4"/>
      <c r="F27" s="4"/>
      <c r="G27" s="15"/>
      <c r="H27" s="4"/>
      <c r="I27" s="4"/>
      <c r="J27" s="4"/>
      <c r="K27" s="4"/>
      <c r="L27" s="4"/>
      <c r="M27" s="4"/>
      <c r="N27" s="4"/>
      <c r="O27" s="4"/>
      <c r="P27" s="4"/>
    </row>
    <row r="28">
      <c r="B28" s="4" t="str">
        <f t="shared" si="1"/>
        <v/>
      </c>
      <c r="C28" s="7"/>
      <c r="D28" s="4"/>
      <c r="E28" s="4"/>
      <c r="F28" s="4"/>
      <c r="G28" s="15"/>
      <c r="H28" s="4"/>
      <c r="I28" s="4"/>
      <c r="J28" s="4"/>
      <c r="K28" s="4"/>
      <c r="L28" s="4"/>
      <c r="M28" s="4"/>
      <c r="N28" s="4"/>
      <c r="O28" s="4"/>
      <c r="P28" s="4"/>
    </row>
    <row r="29">
      <c r="B29" s="4" t="str">
        <f t="shared" si="1"/>
        <v/>
      </c>
      <c r="C29" s="7"/>
      <c r="D29" s="4"/>
      <c r="E29" s="4"/>
      <c r="F29" s="4"/>
      <c r="G29" s="15"/>
      <c r="H29" s="4"/>
      <c r="I29" s="4"/>
      <c r="J29" s="4"/>
      <c r="K29" s="4"/>
      <c r="L29" s="4"/>
      <c r="M29" s="4"/>
      <c r="N29" s="4"/>
      <c r="O29" s="4"/>
      <c r="P29" s="4"/>
    </row>
    <row r="30">
      <c r="B30" s="4" t="str">
        <f t="shared" si="1"/>
        <v/>
      </c>
      <c r="C30" s="7"/>
      <c r="D30" s="4"/>
      <c r="E30" s="4"/>
      <c r="F30" s="4"/>
      <c r="G30" s="15"/>
      <c r="H30" s="4"/>
      <c r="I30" s="4"/>
      <c r="J30" s="4"/>
      <c r="K30" s="4"/>
      <c r="L30" s="4"/>
      <c r="M30" s="4"/>
      <c r="N30" s="4"/>
      <c r="O30" s="4"/>
      <c r="P30" s="4"/>
    </row>
    <row r="31">
      <c r="B31" s="4" t="str">
        <f t="shared" si="1"/>
        <v/>
      </c>
      <c r="C31" s="7"/>
      <c r="D31" s="4"/>
      <c r="E31" s="4"/>
      <c r="F31" s="4"/>
      <c r="G31" s="15"/>
      <c r="H31" s="4"/>
      <c r="I31" s="4"/>
      <c r="J31" s="4"/>
      <c r="K31" s="4"/>
      <c r="L31" s="4"/>
      <c r="M31" s="4"/>
      <c r="N31" s="4"/>
      <c r="O31" s="4"/>
      <c r="P31" s="4"/>
    </row>
    <row r="32">
      <c r="B32" s="4" t="str">
        <f t="shared" si="1"/>
        <v/>
      </c>
      <c r="C32" s="7"/>
      <c r="D32" s="4"/>
      <c r="E32" s="4"/>
      <c r="F32" s="4"/>
      <c r="G32" s="15"/>
      <c r="H32" s="4"/>
      <c r="I32" s="4"/>
      <c r="J32" s="4"/>
      <c r="K32" s="4"/>
      <c r="L32" s="4"/>
      <c r="M32" s="4"/>
      <c r="N32" s="4"/>
      <c r="O32" s="4"/>
      <c r="P32" s="4"/>
    </row>
    <row r="33">
      <c r="B33" s="4" t="str">
        <f t="shared" si="1"/>
        <v/>
      </c>
      <c r="C33" s="7"/>
      <c r="D33" s="4"/>
      <c r="E33" s="4"/>
      <c r="F33" s="4"/>
      <c r="G33" s="15"/>
      <c r="H33" s="4"/>
      <c r="I33" s="4"/>
      <c r="J33" s="4"/>
      <c r="K33" s="4"/>
      <c r="L33" s="4"/>
      <c r="M33" s="4"/>
      <c r="N33" s="4"/>
      <c r="O33" s="4"/>
      <c r="P33" s="4"/>
    </row>
    <row r="34">
      <c r="B34" s="4" t="str">
        <f t="shared" si="1"/>
        <v/>
      </c>
      <c r="C34" s="7"/>
      <c r="D34" s="4"/>
      <c r="E34" s="4"/>
      <c r="F34" s="4"/>
      <c r="G34" s="15"/>
      <c r="H34" s="4"/>
      <c r="I34" s="4"/>
      <c r="J34" s="4"/>
      <c r="K34" s="4"/>
      <c r="L34" s="4"/>
      <c r="M34" s="4"/>
      <c r="N34" s="4"/>
      <c r="O34" s="4"/>
      <c r="P34" s="4"/>
    </row>
    <row r="35">
      <c r="B35" s="4" t="str">
        <f t="shared" si="1"/>
        <v/>
      </c>
      <c r="C35" s="7"/>
      <c r="D35" s="4"/>
      <c r="E35" s="4"/>
      <c r="F35" s="4"/>
      <c r="G35" s="15"/>
      <c r="H35" s="4"/>
      <c r="I35" s="4"/>
      <c r="J35" s="4"/>
      <c r="K35" s="4"/>
      <c r="L35" s="4"/>
      <c r="M35" s="4"/>
      <c r="N35" s="4"/>
      <c r="O35" s="4"/>
      <c r="P35" s="4"/>
    </row>
    <row r="36">
      <c r="B36" s="4" t="str">
        <f t="shared" si="1"/>
        <v/>
      </c>
      <c r="C36" s="7"/>
      <c r="D36" s="4"/>
      <c r="E36" s="4"/>
      <c r="F36" s="4"/>
      <c r="G36" s="15"/>
      <c r="H36" s="4"/>
      <c r="I36" s="4"/>
      <c r="J36" s="4"/>
      <c r="K36" s="4"/>
      <c r="L36" s="4"/>
      <c r="M36" s="4"/>
      <c r="N36" s="4"/>
      <c r="O36" s="4"/>
      <c r="P36" s="4"/>
    </row>
    <row r="37">
      <c r="B37" s="4" t="str">
        <f t="shared" si="1"/>
        <v/>
      </c>
      <c r="C37" s="7"/>
      <c r="D37" s="4"/>
      <c r="E37" s="4"/>
      <c r="F37" s="4"/>
      <c r="G37" s="15"/>
      <c r="H37" s="4"/>
      <c r="I37" s="4"/>
      <c r="J37" s="4"/>
      <c r="K37" s="4"/>
      <c r="L37" s="4"/>
      <c r="M37" s="4"/>
      <c r="N37" s="4"/>
      <c r="O37" s="4"/>
      <c r="P37" s="4"/>
    </row>
    <row r="38">
      <c r="B38" s="4" t="str">
        <f t="shared" si="1"/>
        <v/>
      </c>
      <c r="C38" s="7"/>
      <c r="D38" s="4"/>
      <c r="E38" s="4"/>
      <c r="F38" s="4"/>
      <c r="G38" s="15"/>
      <c r="H38" s="4"/>
      <c r="I38" s="4"/>
      <c r="J38" s="4"/>
      <c r="K38" s="4"/>
      <c r="L38" s="4"/>
      <c r="M38" s="4"/>
      <c r="N38" s="4"/>
      <c r="O38" s="4"/>
      <c r="P38" s="4"/>
    </row>
    <row r="39">
      <c r="B39" s="4" t="str">
        <f t="shared" si="1"/>
        <v/>
      </c>
      <c r="C39" s="7"/>
      <c r="D39" s="4"/>
      <c r="E39" s="4"/>
      <c r="F39" s="4"/>
      <c r="G39" s="15"/>
      <c r="H39" s="4"/>
      <c r="I39" s="4"/>
      <c r="J39" s="4"/>
      <c r="K39" s="4"/>
      <c r="L39" s="4"/>
      <c r="M39" s="4"/>
      <c r="N39" s="4"/>
      <c r="O39" s="4"/>
      <c r="P39" s="4"/>
    </row>
    <row r="40">
      <c r="B40" s="4" t="str">
        <f t="shared" si="1"/>
        <v/>
      </c>
      <c r="C40" s="7"/>
      <c r="D40" s="4"/>
      <c r="E40" s="4"/>
      <c r="F40" s="4"/>
      <c r="G40" s="15"/>
      <c r="H40" s="4"/>
      <c r="I40" s="4"/>
      <c r="J40" s="4"/>
      <c r="K40" s="4"/>
      <c r="L40" s="4"/>
      <c r="M40" s="4"/>
      <c r="N40" s="4"/>
      <c r="O40" s="4"/>
      <c r="P40" s="4"/>
    </row>
    <row r="41">
      <c r="B41" s="4" t="str">
        <f t="shared" si="1"/>
        <v/>
      </c>
      <c r="C41" s="7"/>
      <c r="D41" s="4"/>
      <c r="E41" s="4"/>
      <c r="F41" s="4"/>
      <c r="G41" s="15"/>
      <c r="H41" s="4"/>
      <c r="I41" s="4"/>
      <c r="J41" s="4"/>
      <c r="K41" s="4"/>
      <c r="L41" s="4"/>
      <c r="M41" s="4"/>
      <c r="N41" s="4"/>
      <c r="O41" s="4"/>
      <c r="P41" s="4"/>
    </row>
    <row r="42">
      <c r="B42" s="4" t="str">
        <f t="shared" si="1"/>
        <v/>
      </c>
      <c r="C42" s="7"/>
      <c r="D42" s="4"/>
      <c r="E42" s="4"/>
      <c r="F42" s="4"/>
      <c r="G42" s="15"/>
      <c r="H42" s="4"/>
      <c r="I42" s="4"/>
      <c r="J42" s="4"/>
      <c r="K42" s="4"/>
      <c r="L42" s="4"/>
      <c r="M42" s="4"/>
      <c r="N42" s="4"/>
      <c r="O42" s="4"/>
      <c r="P42" s="4"/>
    </row>
    <row r="43">
      <c r="B43" s="4" t="str">
        <f t="shared" si="1"/>
        <v/>
      </c>
      <c r="C43" s="7"/>
      <c r="D43" s="4"/>
      <c r="E43" s="4"/>
      <c r="F43" s="4"/>
      <c r="G43" s="15"/>
      <c r="H43" s="4"/>
      <c r="I43" s="4"/>
      <c r="J43" s="4"/>
      <c r="K43" s="4"/>
      <c r="L43" s="4"/>
      <c r="M43" s="4"/>
      <c r="N43" s="4"/>
      <c r="O43" s="4"/>
      <c r="P43" s="4"/>
    </row>
    <row r="44">
      <c r="B44" s="4" t="str">
        <f t="shared" si="1"/>
        <v/>
      </c>
      <c r="C44" s="7"/>
      <c r="D44" s="4"/>
      <c r="E44" s="4"/>
      <c r="F44" s="4"/>
      <c r="G44" s="15"/>
      <c r="H44" s="4"/>
      <c r="I44" s="4"/>
      <c r="J44" s="4"/>
      <c r="K44" s="4"/>
      <c r="L44" s="4"/>
      <c r="M44" s="4"/>
      <c r="N44" s="4"/>
      <c r="O44" s="4"/>
      <c r="P44" s="4"/>
    </row>
    <row r="45">
      <c r="B45" s="4" t="str">
        <f t="shared" si="1"/>
        <v/>
      </c>
      <c r="C45" s="7"/>
      <c r="D45" s="4"/>
      <c r="E45" s="4"/>
      <c r="F45" s="4"/>
      <c r="G45" s="15"/>
      <c r="H45" s="4"/>
      <c r="I45" s="4"/>
      <c r="J45" s="4"/>
      <c r="K45" s="4"/>
      <c r="L45" s="4"/>
      <c r="M45" s="4"/>
      <c r="N45" s="4"/>
      <c r="O45" s="4"/>
      <c r="P45" s="4"/>
    </row>
    <row r="46">
      <c r="B46" s="4" t="str">
        <f t="shared" si="1"/>
        <v/>
      </c>
      <c r="C46" s="7"/>
      <c r="D46" s="4"/>
      <c r="E46" s="4"/>
      <c r="F46" s="4"/>
      <c r="G46" s="15"/>
      <c r="H46" s="4"/>
      <c r="I46" s="4"/>
      <c r="J46" s="4"/>
      <c r="K46" s="4"/>
      <c r="L46" s="4"/>
      <c r="M46" s="4"/>
      <c r="N46" s="4"/>
      <c r="O46" s="4"/>
      <c r="P46" s="4"/>
    </row>
    <row r="47">
      <c r="B47" s="4" t="str">
        <f t="shared" si="1"/>
        <v/>
      </c>
      <c r="C47" s="7"/>
      <c r="D47" s="4"/>
      <c r="E47" s="4"/>
      <c r="F47" s="4"/>
      <c r="G47" s="15"/>
      <c r="H47" s="4"/>
      <c r="I47" s="4"/>
      <c r="J47" s="4"/>
      <c r="K47" s="4"/>
      <c r="L47" s="4"/>
      <c r="M47" s="4"/>
      <c r="N47" s="4"/>
      <c r="O47" s="4"/>
      <c r="P47" s="4"/>
    </row>
    <row r="48">
      <c r="B48" s="4" t="str">
        <f t="shared" si="1"/>
        <v/>
      </c>
      <c r="C48" s="7"/>
      <c r="D48" s="4"/>
      <c r="E48" s="4"/>
      <c r="F48" s="4"/>
      <c r="G48" s="15"/>
      <c r="H48" s="4"/>
      <c r="I48" s="4"/>
      <c r="J48" s="4"/>
      <c r="K48" s="4"/>
      <c r="L48" s="4"/>
      <c r="M48" s="4"/>
      <c r="N48" s="4"/>
      <c r="O48" s="4"/>
      <c r="P48" s="4"/>
    </row>
    <row r="49">
      <c r="B49" s="4" t="str">
        <f t="shared" si="1"/>
        <v/>
      </c>
      <c r="C49" s="7"/>
      <c r="D49" s="4"/>
      <c r="E49" s="4"/>
      <c r="F49" s="4"/>
      <c r="G49" s="15"/>
      <c r="H49" s="4"/>
      <c r="I49" s="4"/>
      <c r="J49" s="4"/>
      <c r="K49" s="4"/>
      <c r="L49" s="4"/>
      <c r="M49" s="4"/>
      <c r="N49" s="4"/>
      <c r="O49" s="4"/>
      <c r="P49" s="4"/>
    </row>
    <row r="50">
      <c r="B50" s="4" t="str">
        <f t="shared" si="1"/>
        <v/>
      </c>
      <c r="C50" s="7"/>
      <c r="D50" s="4"/>
      <c r="E50" s="4"/>
      <c r="F50" s="4"/>
      <c r="G50" s="15"/>
      <c r="H50" s="4"/>
      <c r="I50" s="4"/>
      <c r="J50" s="4"/>
      <c r="K50" s="4"/>
      <c r="L50" s="4"/>
      <c r="M50" s="4"/>
      <c r="N50" s="4"/>
      <c r="O50" s="4"/>
      <c r="P50" s="4"/>
    </row>
    <row r="51">
      <c r="B51" s="4" t="str">
        <f t="shared" si="1"/>
        <v/>
      </c>
      <c r="C51" s="7"/>
      <c r="D51" s="4"/>
      <c r="E51" s="4"/>
      <c r="F51" s="4"/>
      <c r="G51" s="15"/>
      <c r="H51" s="4"/>
      <c r="I51" s="4"/>
      <c r="J51" s="4"/>
      <c r="K51" s="4"/>
      <c r="L51" s="4"/>
      <c r="M51" s="4"/>
      <c r="N51" s="4"/>
      <c r="O51" s="4"/>
      <c r="P51" s="4"/>
    </row>
    <row r="52">
      <c r="B52" s="4" t="str">
        <f t="shared" si="1"/>
        <v/>
      </c>
      <c r="C52" s="7"/>
      <c r="D52" s="4"/>
      <c r="E52" s="4"/>
      <c r="F52" s="4"/>
      <c r="G52" s="15"/>
      <c r="H52" s="4"/>
      <c r="I52" s="4"/>
      <c r="J52" s="4"/>
      <c r="K52" s="4"/>
      <c r="L52" s="4"/>
      <c r="M52" s="4"/>
      <c r="N52" s="4"/>
      <c r="O52" s="4"/>
      <c r="P52" s="4"/>
    </row>
    <row r="53">
      <c r="B53" s="4" t="str">
        <f t="shared" si="1"/>
        <v/>
      </c>
      <c r="C53" s="7"/>
      <c r="D53" s="4"/>
      <c r="E53" s="4"/>
      <c r="F53" s="4"/>
      <c r="G53" s="15"/>
      <c r="H53" s="4"/>
      <c r="I53" s="4"/>
      <c r="J53" s="4"/>
      <c r="K53" s="4"/>
      <c r="L53" s="4"/>
      <c r="M53" s="4"/>
      <c r="N53" s="4"/>
      <c r="O53" s="4"/>
      <c r="P53" s="4"/>
    </row>
    <row r="54">
      <c r="B54" s="4" t="str">
        <f t="shared" si="1"/>
        <v/>
      </c>
      <c r="C54" s="7"/>
      <c r="D54" s="4"/>
      <c r="E54" s="4"/>
      <c r="F54" s="4"/>
      <c r="G54" s="15"/>
      <c r="H54" s="4"/>
      <c r="I54" s="4"/>
      <c r="J54" s="4"/>
      <c r="K54" s="4"/>
      <c r="L54" s="4"/>
      <c r="M54" s="4"/>
      <c r="N54" s="4"/>
      <c r="O54" s="4"/>
      <c r="P54" s="4"/>
    </row>
    <row r="55">
      <c r="B55" s="4" t="str">
        <f t="shared" si="1"/>
        <v/>
      </c>
      <c r="C55" s="7"/>
      <c r="D55" s="4"/>
      <c r="E55" s="4"/>
      <c r="F55" s="4"/>
      <c r="G55" s="15"/>
      <c r="H55" s="4"/>
      <c r="I55" s="4"/>
      <c r="J55" s="4"/>
      <c r="K55" s="4"/>
      <c r="L55" s="4"/>
      <c r="M55" s="4"/>
      <c r="N55" s="4"/>
      <c r="O55" s="4"/>
      <c r="P55" s="4"/>
    </row>
    <row r="56">
      <c r="B56" s="4" t="str">
        <f t="shared" si="1"/>
        <v/>
      </c>
      <c r="C56" s="7"/>
      <c r="D56" s="4"/>
      <c r="E56" s="4"/>
      <c r="F56" s="4"/>
      <c r="G56" s="15"/>
      <c r="H56" s="4"/>
      <c r="I56" s="4"/>
      <c r="J56" s="4"/>
      <c r="K56" s="4"/>
      <c r="L56" s="4"/>
      <c r="M56" s="4"/>
      <c r="N56" s="4"/>
      <c r="O56" s="4"/>
      <c r="P56" s="4"/>
    </row>
    <row r="57">
      <c r="B57" s="4" t="str">
        <f t="shared" si="1"/>
        <v/>
      </c>
      <c r="C57" s="7"/>
      <c r="D57" s="4"/>
      <c r="E57" s="4"/>
      <c r="F57" s="4"/>
      <c r="G57" s="15"/>
      <c r="H57" s="4"/>
      <c r="I57" s="4"/>
      <c r="J57" s="4"/>
      <c r="K57" s="4"/>
      <c r="L57" s="4"/>
      <c r="M57" s="4"/>
      <c r="N57" s="4"/>
      <c r="O57" s="4"/>
      <c r="P57" s="4"/>
    </row>
    <row r="58">
      <c r="B58" s="4" t="str">
        <f t="shared" si="1"/>
        <v/>
      </c>
      <c r="C58" s="7"/>
      <c r="D58" s="4"/>
      <c r="E58" s="4"/>
      <c r="F58" s="4"/>
      <c r="G58" s="15"/>
      <c r="H58" s="4"/>
      <c r="I58" s="4"/>
      <c r="J58" s="4"/>
      <c r="K58" s="4"/>
      <c r="L58" s="4"/>
      <c r="M58" s="4"/>
      <c r="N58" s="4"/>
      <c r="O58" s="4"/>
      <c r="P58" s="4"/>
    </row>
    <row r="59">
      <c r="B59" s="4" t="str">
        <f t="shared" si="1"/>
        <v/>
      </c>
      <c r="C59" s="7"/>
      <c r="D59" s="4"/>
      <c r="E59" s="4"/>
      <c r="F59" s="4"/>
      <c r="G59" s="15"/>
      <c r="H59" s="4"/>
      <c r="I59" s="4"/>
      <c r="J59" s="4"/>
      <c r="K59" s="4"/>
      <c r="L59" s="4"/>
      <c r="M59" s="4"/>
      <c r="N59" s="4"/>
      <c r="O59" s="4"/>
      <c r="P59" s="4"/>
    </row>
    <row r="60">
      <c r="B60" s="4" t="str">
        <f t="shared" si="1"/>
        <v/>
      </c>
      <c r="C60" s="7"/>
      <c r="D60" s="4"/>
      <c r="E60" s="4"/>
      <c r="F60" s="4"/>
      <c r="G60" s="15"/>
      <c r="H60" s="4"/>
      <c r="I60" s="4"/>
      <c r="J60" s="4"/>
      <c r="K60" s="4"/>
      <c r="L60" s="4"/>
      <c r="M60" s="4"/>
      <c r="N60" s="4"/>
      <c r="O60" s="4"/>
      <c r="P60" s="4"/>
    </row>
    <row r="61">
      <c r="C61" s="16"/>
      <c r="D61" s="16"/>
      <c r="E61" s="16"/>
      <c r="F61" s="16"/>
      <c r="G61" s="17"/>
      <c r="H61" s="16"/>
    </row>
    <row r="62">
      <c r="C62" s="16"/>
      <c r="D62" s="16"/>
      <c r="E62" s="16"/>
      <c r="F62" s="16"/>
      <c r="G62" s="17"/>
      <c r="H62" s="16"/>
    </row>
    <row r="63">
      <c r="C63" s="16"/>
      <c r="D63" s="16"/>
      <c r="E63" s="16"/>
      <c r="F63" s="16"/>
      <c r="G63" s="17"/>
      <c r="H63" s="16"/>
    </row>
    <row r="64">
      <c r="C64" s="16"/>
      <c r="D64" s="16"/>
      <c r="E64" s="16"/>
      <c r="F64" s="16"/>
      <c r="G64" s="17"/>
      <c r="H64" s="16"/>
    </row>
    <row r="65">
      <c r="C65" s="16"/>
      <c r="D65" s="16"/>
      <c r="E65" s="16"/>
      <c r="F65" s="16"/>
      <c r="G65" s="17"/>
      <c r="H65" s="16"/>
    </row>
    <row r="66">
      <c r="C66" s="16"/>
      <c r="D66" s="16"/>
      <c r="E66" s="16"/>
      <c r="F66" s="16"/>
      <c r="G66" s="17"/>
      <c r="H66" s="16"/>
    </row>
    <row r="67">
      <c r="C67" s="16"/>
      <c r="D67" s="16"/>
      <c r="E67" s="16"/>
      <c r="F67" s="16"/>
      <c r="G67" s="17"/>
      <c r="H67" s="16"/>
    </row>
    <row r="68">
      <c r="C68" s="16"/>
      <c r="D68" s="16"/>
      <c r="E68" s="16"/>
      <c r="F68" s="16"/>
      <c r="G68" s="17"/>
      <c r="H68" s="16"/>
    </row>
    <row r="69">
      <c r="C69" s="16"/>
      <c r="D69" s="16"/>
      <c r="E69" s="16"/>
      <c r="F69" s="16"/>
      <c r="G69" s="17"/>
      <c r="H69" s="16"/>
    </row>
    <row r="70">
      <c r="C70" s="16"/>
      <c r="D70" s="16"/>
      <c r="E70" s="16"/>
      <c r="F70" s="16"/>
      <c r="G70" s="17"/>
      <c r="H70" s="16"/>
    </row>
    <row r="71">
      <c r="C71" s="16"/>
      <c r="D71" s="16"/>
      <c r="E71" s="16"/>
      <c r="F71" s="16"/>
      <c r="G71" s="17"/>
      <c r="H71" s="16"/>
    </row>
    <row r="72">
      <c r="C72" s="16"/>
      <c r="D72" s="16"/>
      <c r="E72" s="16"/>
      <c r="F72" s="16"/>
      <c r="G72" s="17"/>
      <c r="H72" s="16"/>
    </row>
    <row r="73">
      <c r="C73" s="16"/>
      <c r="D73" s="16"/>
      <c r="E73" s="16"/>
      <c r="F73" s="16"/>
      <c r="G73" s="17"/>
      <c r="H73" s="16"/>
    </row>
    <row r="74">
      <c r="C74" s="16"/>
      <c r="D74" s="16"/>
      <c r="E74" s="16"/>
      <c r="F74" s="16"/>
      <c r="G74" s="17"/>
      <c r="H74" s="16"/>
    </row>
    <row r="75">
      <c r="C75" s="16"/>
      <c r="D75" s="16"/>
      <c r="E75" s="16"/>
      <c r="F75" s="16"/>
      <c r="G75" s="17"/>
      <c r="H75" s="16"/>
    </row>
    <row r="76">
      <c r="C76" s="16"/>
      <c r="D76" s="16"/>
      <c r="E76" s="16"/>
      <c r="F76" s="16"/>
      <c r="G76" s="17"/>
      <c r="H76" s="16"/>
    </row>
    <row r="77">
      <c r="C77" s="16"/>
      <c r="D77" s="16"/>
      <c r="E77" s="16"/>
      <c r="F77" s="16"/>
      <c r="G77" s="17"/>
      <c r="H77" s="16"/>
    </row>
    <row r="78">
      <c r="C78" s="16"/>
      <c r="D78" s="16"/>
      <c r="E78" s="16"/>
      <c r="F78" s="16"/>
      <c r="G78" s="17"/>
      <c r="H78" s="16"/>
    </row>
    <row r="79">
      <c r="C79" s="16"/>
      <c r="D79" s="16"/>
      <c r="E79" s="16"/>
      <c r="F79" s="16"/>
      <c r="G79" s="17"/>
      <c r="H79" s="16"/>
    </row>
    <row r="80">
      <c r="C80" s="16"/>
      <c r="D80" s="16"/>
      <c r="E80" s="16"/>
      <c r="F80" s="16"/>
      <c r="G80" s="17"/>
      <c r="H80" s="16"/>
    </row>
    <row r="81">
      <c r="C81" s="16"/>
      <c r="D81" s="16"/>
      <c r="E81" s="16"/>
      <c r="F81" s="16"/>
      <c r="G81" s="17"/>
      <c r="H81" s="16"/>
    </row>
    <row r="82">
      <c r="C82" s="16"/>
      <c r="D82" s="16"/>
      <c r="E82" s="16"/>
      <c r="F82" s="16"/>
      <c r="G82" s="17"/>
      <c r="H82" s="16"/>
    </row>
    <row r="83">
      <c r="C83" s="16"/>
      <c r="D83" s="16"/>
      <c r="E83" s="16"/>
      <c r="F83" s="16"/>
      <c r="G83" s="17"/>
      <c r="H83" s="16"/>
    </row>
    <row r="84">
      <c r="C84" s="16"/>
      <c r="D84" s="16"/>
      <c r="E84" s="16"/>
      <c r="F84" s="16"/>
      <c r="G84" s="17"/>
      <c r="H84" s="16"/>
    </row>
    <row r="85">
      <c r="C85" s="16"/>
      <c r="D85" s="16"/>
      <c r="E85" s="16"/>
      <c r="F85" s="16"/>
      <c r="G85" s="17"/>
      <c r="H85" s="16"/>
    </row>
    <row r="86">
      <c r="C86" s="16"/>
      <c r="D86" s="16"/>
      <c r="E86" s="16"/>
      <c r="F86" s="16"/>
      <c r="G86" s="17"/>
      <c r="H86" s="16"/>
    </row>
    <row r="87">
      <c r="C87" s="16"/>
      <c r="D87" s="16"/>
      <c r="E87" s="16"/>
      <c r="F87" s="16"/>
      <c r="G87" s="17"/>
      <c r="H87" s="16"/>
    </row>
    <row r="88">
      <c r="C88" s="16"/>
      <c r="D88" s="16"/>
      <c r="E88" s="16"/>
      <c r="F88" s="16"/>
      <c r="G88" s="17"/>
      <c r="H88" s="16"/>
    </row>
    <row r="89">
      <c r="C89" s="16"/>
      <c r="D89" s="16"/>
      <c r="E89" s="16"/>
      <c r="F89" s="16"/>
      <c r="G89" s="17"/>
      <c r="H89" s="16"/>
    </row>
    <row r="90">
      <c r="C90" s="16"/>
      <c r="D90" s="16"/>
      <c r="E90" s="16"/>
      <c r="F90" s="16"/>
      <c r="G90" s="17"/>
      <c r="H90" s="16"/>
    </row>
    <row r="91">
      <c r="C91" s="16"/>
      <c r="D91" s="16"/>
      <c r="E91" s="16"/>
      <c r="F91" s="16"/>
      <c r="G91" s="17"/>
      <c r="H91" s="16"/>
    </row>
    <row r="92">
      <c r="C92" s="16"/>
      <c r="D92" s="16"/>
      <c r="E92" s="16"/>
      <c r="F92" s="16"/>
      <c r="G92" s="17"/>
      <c r="H92" s="16"/>
    </row>
    <row r="93">
      <c r="C93" s="16"/>
      <c r="D93" s="16"/>
      <c r="E93" s="16"/>
      <c r="F93" s="16"/>
      <c r="G93" s="17"/>
      <c r="H93" s="16"/>
    </row>
    <row r="94">
      <c r="C94" s="16"/>
      <c r="D94" s="16"/>
      <c r="E94" s="16"/>
      <c r="F94" s="16"/>
      <c r="G94" s="17"/>
      <c r="H94" s="16"/>
    </row>
    <row r="95">
      <c r="C95" s="16"/>
      <c r="D95" s="16"/>
      <c r="E95" s="16"/>
      <c r="F95" s="16"/>
      <c r="G95" s="17"/>
      <c r="H95" s="16"/>
    </row>
    <row r="96">
      <c r="C96" s="16"/>
      <c r="D96" s="16"/>
      <c r="E96" s="16"/>
      <c r="F96" s="16"/>
      <c r="G96" s="17"/>
      <c r="H96" s="16"/>
    </row>
    <row r="97">
      <c r="C97" s="16"/>
      <c r="D97" s="16"/>
      <c r="E97" s="16"/>
      <c r="F97" s="16"/>
      <c r="G97" s="17"/>
      <c r="H97" s="16"/>
    </row>
    <row r="98">
      <c r="C98" s="16"/>
      <c r="D98" s="16"/>
      <c r="E98" s="16"/>
      <c r="F98" s="16"/>
      <c r="G98" s="17"/>
      <c r="H98" s="16"/>
    </row>
    <row r="99">
      <c r="C99" s="16"/>
      <c r="D99" s="16"/>
      <c r="E99" s="16"/>
      <c r="F99" s="16"/>
      <c r="G99" s="17"/>
      <c r="H99" s="16"/>
    </row>
    <row r="100">
      <c r="C100" s="16"/>
      <c r="D100" s="16"/>
      <c r="E100" s="16"/>
      <c r="F100" s="16"/>
      <c r="G100" s="17"/>
      <c r="H100" s="16"/>
    </row>
    <row r="101">
      <c r="C101" s="16"/>
      <c r="D101" s="16"/>
      <c r="E101" s="16"/>
      <c r="F101" s="16"/>
      <c r="G101" s="17"/>
      <c r="H101" s="16"/>
    </row>
    <row r="102">
      <c r="C102" s="16"/>
      <c r="D102" s="16"/>
      <c r="E102" s="16"/>
      <c r="F102" s="16"/>
      <c r="G102" s="17"/>
      <c r="H102" s="16"/>
    </row>
    <row r="103">
      <c r="C103" s="16"/>
      <c r="D103" s="16"/>
      <c r="E103" s="16"/>
      <c r="F103" s="16"/>
      <c r="G103" s="17"/>
      <c r="H103" s="16"/>
    </row>
    <row r="104">
      <c r="C104" s="16"/>
      <c r="D104" s="16"/>
      <c r="E104" s="16"/>
      <c r="F104" s="16"/>
      <c r="G104" s="17"/>
      <c r="H104" s="16"/>
    </row>
    <row r="105">
      <c r="C105" s="16"/>
      <c r="D105" s="16"/>
      <c r="E105" s="16"/>
      <c r="F105" s="16"/>
      <c r="G105" s="17"/>
      <c r="H105" s="16"/>
    </row>
    <row r="106">
      <c r="C106" s="16"/>
      <c r="D106" s="16"/>
      <c r="E106" s="16"/>
      <c r="F106" s="16"/>
      <c r="G106" s="17"/>
      <c r="H106" s="16"/>
    </row>
    <row r="107">
      <c r="C107" s="16"/>
      <c r="D107" s="16"/>
      <c r="E107" s="16"/>
      <c r="F107" s="16"/>
      <c r="G107" s="17"/>
      <c r="H107" s="16"/>
    </row>
    <row r="108">
      <c r="C108" s="16"/>
      <c r="D108" s="16"/>
      <c r="E108" s="16"/>
      <c r="F108" s="16"/>
      <c r="G108" s="17"/>
      <c r="H108" s="16"/>
    </row>
    <row r="109">
      <c r="C109" s="16"/>
      <c r="D109" s="16"/>
      <c r="E109" s="16"/>
      <c r="F109" s="16"/>
      <c r="G109" s="17"/>
      <c r="H109" s="16"/>
    </row>
    <row r="110">
      <c r="C110" s="16"/>
      <c r="D110" s="16"/>
      <c r="E110" s="16"/>
      <c r="F110" s="16"/>
      <c r="G110" s="17"/>
      <c r="H110" s="16"/>
    </row>
    <row r="111">
      <c r="C111" s="16"/>
      <c r="D111" s="16"/>
      <c r="E111" s="16"/>
      <c r="F111" s="16"/>
      <c r="G111" s="17"/>
      <c r="H111" s="16"/>
    </row>
    <row r="112">
      <c r="C112" s="16"/>
      <c r="D112" s="16"/>
      <c r="E112" s="16"/>
      <c r="F112" s="16"/>
      <c r="G112" s="17"/>
      <c r="H112" s="16"/>
    </row>
    <row r="113">
      <c r="C113" s="16"/>
      <c r="D113" s="16"/>
      <c r="E113" s="16"/>
      <c r="F113" s="16"/>
      <c r="G113" s="17"/>
      <c r="H113" s="16"/>
    </row>
    <row r="114">
      <c r="C114" s="16"/>
      <c r="D114" s="16"/>
      <c r="E114" s="16"/>
      <c r="F114" s="16"/>
      <c r="G114" s="17"/>
      <c r="H114" s="16"/>
    </row>
    <row r="115">
      <c r="C115" s="16"/>
      <c r="D115" s="16"/>
      <c r="E115" s="16"/>
      <c r="F115" s="16"/>
      <c r="G115" s="17"/>
      <c r="H115" s="16"/>
    </row>
  </sheetData>
  <mergeCells count="3">
    <mergeCell ref="A1:C1"/>
    <mergeCell ref="R12:R14"/>
    <mergeCell ref="S12:S14"/>
  </mergeCells>
  <dataValidations>
    <dataValidation type="custom" allowBlank="1" showDropDown="1" sqref="G4:G14">
      <formula1>OR(NOT(ISERROR(DATEVALUE(G4))), AND(ISNUMBER(G4), LEFT(CELL("format", G4))="D"))</formula1>
    </dataValidation>
  </dataValidations>
  <drawing r:id="rId1"/>
</worksheet>
</file>