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2" sheetId="2" r:id="rId6"/>
    <sheet state="visible" name="Sheet3" sheetId="3" r:id="rId7"/>
    <sheet state="visible" name="Copy of Database" sheetId="4" r:id="rId8"/>
  </sheets>
  <definedNames/>
  <calcPr/>
</workbook>
</file>

<file path=xl/sharedStrings.xml><?xml version="1.0" encoding="utf-8"?>
<sst xmlns="http://schemas.openxmlformats.org/spreadsheetml/2006/main" count="58" uniqueCount="40">
  <si>
    <t xml:space="preserve">Patient ID </t>
  </si>
  <si>
    <t xml:space="preserve">Patient Name </t>
  </si>
  <si>
    <t xml:space="preserve">Patient Age </t>
  </si>
  <si>
    <t xml:space="preserve">Patient Gender </t>
  </si>
  <si>
    <t xml:space="preserve">Patient Ward </t>
  </si>
  <si>
    <t xml:space="preserve">Patient Admit Date </t>
  </si>
  <si>
    <t xml:space="preserve">Patient Discharge Date </t>
  </si>
  <si>
    <t xml:space="preserve">Doctor's Name </t>
  </si>
  <si>
    <t xml:space="preserve">Total Expenses </t>
  </si>
  <si>
    <t>Devine Monk Hospital</t>
  </si>
  <si>
    <t>Enter patient name :</t>
  </si>
  <si>
    <t xml:space="preserve">James </t>
  </si>
  <si>
    <t>Enter patient id :</t>
  </si>
  <si>
    <t>P004</t>
  </si>
  <si>
    <t>Timestamp</t>
  </si>
  <si>
    <t>Enter the Patient Name.</t>
  </si>
  <si>
    <t>Enter the Patient Age.</t>
  </si>
  <si>
    <t>Enter the Patient Gender.</t>
  </si>
  <si>
    <t>Select the Patient Ward.</t>
  </si>
  <si>
    <t>Enter the Patient's Admit Date.</t>
  </si>
  <si>
    <t>Enter Patients Discharge Date.</t>
  </si>
  <si>
    <t>Select Doctor's Name.</t>
  </si>
  <si>
    <t xml:space="preserve">Ward Charge </t>
  </si>
  <si>
    <t xml:space="preserve">Total Payable </t>
  </si>
  <si>
    <t>Jonah</t>
  </si>
  <si>
    <t>Female</t>
  </si>
  <si>
    <t>General Ward</t>
  </si>
  <si>
    <t>Dr. Albert</t>
  </si>
  <si>
    <t>John</t>
  </si>
  <si>
    <t>Male</t>
  </si>
  <si>
    <t>Multiple Sharing Ward</t>
  </si>
  <si>
    <t>Dr. Alexander</t>
  </si>
  <si>
    <t>Jeremiah</t>
  </si>
  <si>
    <t>Twin Sharing Ward</t>
  </si>
  <si>
    <t>Suite Ward</t>
  </si>
  <si>
    <t>Dr. Cameron</t>
  </si>
  <si>
    <t xml:space="preserve">check-up </t>
  </si>
  <si>
    <t xml:space="preserve">ward charge </t>
  </si>
  <si>
    <t xml:space="preserve">Doctor charge </t>
  </si>
  <si>
    <t>total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</si>
</sst>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2" fontId="2" numFmtId="0" xfId="0" applyFont="1"/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15</xdr:row>
      <xdr:rowOff>19050</xdr:rowOff>
    </xdr:from>
    <xdr:ext cx="5238750" cy="857250"/>
    <xdr:grpSp>
      <xdr:nvGrpSpPr>
        <xdr:cNvPr id="2" name="Shape 2" title="Drawing"/>
        <xdr:cNvGrpSpPr/>
      </xdr:nvGrpSpPr>
      <xdr:grpSpPr>
        <a:xfrm>
          <a:off x="1625875" y="1291150"/>
          <a:ext cx="5481100" cy="838500"/>
          <a:chOff x="1625875" y="1291150"/>
          <a:chExt cx="5481100" cy="838500"/>
        </a:xfrm>
      </xdr:grpSpPr>
      <xdr:sp>
        <xdr:nvSpPr>
          <xdr:cNvPr id="3" name="Shape 3"/>
          <xdr:cNvSpPr/>
        </xdr:nvSpPr>
        <xdr:spPr>
          <a:xfrm>
            <a:off x="1757125" y="1291150"/>
            <a:ext cx="3732300" cy="838500"/>
          </a:xfrm>
          <a:prstGeom prst="roundRect">
            <a:avLst>
              <a:gd fmla="val 16667" name="adj"/>
            </a:avLst>
          </a:prstGeom>
          <a:solidFill>
            <a:srgbClr val="38761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259875" y="1456450"/>
            <a:ext cx="4847100" cy="50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/>
              <a:t>GENERATE INVOICE</a:t>
            </a:r>
            <a:endParaRPr sz="2100"/>
          </a:p>
        </xdr:txBody>
      </xdr:sp>
      <xdr:sp>
        <xdr:nvSpPr>
          <xdr:cNvPr id="5" name="Shape 5"/>
          <xdr:cNvSpPr txBox="1"/>
        </xdr:nvSpPr>
        <xdr:spPr>
          <a:xfrm>
            <a:off x="1625875" y="1456450"/>
            <a:ext cx="3292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15</xdr:row>
      <xdr:rowOff>19050</xdr:rowOff>
    </xdr:from>
    <xdr:ext cx="5238750" cy="857250"/>
    <xdr:grpSp>
      <xdr:nvGrpSpPr>
        <xdr:cNvPr id="2" name="Shape 2" title="Drawing"/>
        <xdr:cNvGrpSpPr/>
      </xdr:nvGrpSpPr>
      <xdr:grpSpPr>
        <a:xfrm>
          <a:off x="1625875" y="1291150"/>
          <a:ext cx="5481100" cy="838500"/>
          <a:chOff x="1625875" y="1291150"/>
          <a:chExt cx="5481100" cy="838500"/>
        </a:xfrm>
      </xdr:grpSpPr>
      <xdr:sp>
        <xdr:nvSpPr>
          <xdr:cNvPr id="3" name="Shape 3"/>
          <xdr:cNvSpPr/>
        </xdr:nvSpPr>
        <xdr:spPr>
          <a:xfrm>
            <a:off x="1757125" y="1291150"/>
            <a:ext cx="3732300" cy="838500"/>
          </a:xfrm>
          <a:prstGeom prst="roundRect">
            <a:avLst>
              <a:gd fmla="val 16667" name="adj"/>
            </a:avLst>
          </a:prstGeom>
          <a:solidFill>
            <a:srgbClr val="38761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259875" y="1456450"/>
            <a:ext cx="4847100" cy="507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/>
              <a:t>GENERATE INVOICE</a:t>
            </a:r>
            <a:endParaRPr sz="2100"/>
          </a:p>
        </xdr:txBody>
      </xdr:sp>
      <xdr:sp>
        <xdr:nvSpPr>
          <xdr:cNvPr id="5" name="Shape 5"/>
          <xdr:cNvSpPr txBox="1"/>
        </xdr:nvSpPr>
        <xdr:spPr>
          <a:xfrm>
            <a:off x="1625875" y="1456450"/>
            <a:ext cx="3292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K7" displayName="Table1" name="Table1" id="1">
  <tableColumns count="10">
    <tableColumn name="Timestamp" id="1"/>
    <tableColumn name="Enter the Patient Name." id="2"/>
    <tableColumn name="Enter the Patient Age." id="3"/>
    <tableColumn name="Enter the Patient Gender." id="4"/>
    <tableColumn name="Select the Patient Ward." id="5"/>
    <tableColumn name="Enter the Patient's Admit Date." id="6"/>
    <tableColumn name="Enter Patients Discharge Date." id="7"/>
    <tableColumn name="Select Doctor's Name." id="8"/>
    <tableColumn name="Ward Charge " id="9"/>
    <tableColumn name="Total Payable " id="10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3/d/10gHUpMEW0hhX-4odgV1E55iVjjKV9zWepyzGIxDtof8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3/d/10gHUpMEW0hhX-4odgV1E55iVjjKV9zWepyzGIxDtof8/edit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75"/>
    <col customWidth="1" min="6" max="6" width="21.75"/>
    <col customWidth="1" min="7" max="7" width="17.5"/>
    <col customWidth="1" min="8" max="8" width="18.8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>
      <c r="B4" s="2" t="str">
        <f t="shared" ref="B4:B14" si="1">IF(C4&lt;&gt;"", "P" &amp; TEXT(ROW(B4)-3, "000"), "")</f>
        <v>#REF!</v>
      </c>
      <c r="C4" s="3" t="str">
        <f>IFERROR(__xludf.DUMMYFUNCTION("QUERY(IMPORTRANGE(""https://docs.google.com/spreadsheets/u/3/d/10gHUpMEW0hhX-4odgV1E55iVjjKV9zWepyzGIxDtof8/edit"",""SHEET1!B2:H17"")
)"),"#REF!")</f>
        <v>#REF!</v>
      </c>
      <c r="D4" s="2"/>
      <c r="E4" s="2"/>
      <c r="F4" s="2"/>
      <c r="G4" s="2"/>
      <c r="H4" s="2"/>
      <c r="I4" s="4"/>
      <c r="J4" s="2"/>
    </row>
    <row r="5">
      <c r="B5" s="2" t="str">
        <f t="shared" si="1"/>
        <v/>
      </c>
      <c r="C5" s="5"/>
      <c r="D5" s="2"/>
      <c r="E5" s="2"/>
      <c r="F5" s="2"/>
      <c r="G5" s="2"/>
      <c r="H5" s="2"/>
      <c r="I5" s="4"/>
      <c r="J5" s="2"/>
    </row>
    <row r="6">
      <c r="B6" s="2" t="str">
        <f t="shared" si="1"/>
        <v/>
      </c>
      <c r="C6" s="5"/>
      <c r="D6" s="2"/>
      <c r="E6" s="2"/>
      <c r="F6" s="2"/>
      <c r="G6" s="2"/>
      <c r="H6" s="2"/>
      <c r="I6" s="4"/>
      <c r="J6" s="2"/>
    </row>
    <row r="7">
      <c r="B7" s="2" t="str">
        <f t="shared" si="1"/>
        <v/>
      </c>
      <c r="C7" s="5"/>
      <c r="D7" s="2"/>
      <c r="E7" s="2"/>
      <c r="F7" s="2"/>
      <c r="G7" s="2"/>
      <c r="H7" s="2"/>
      <c r="I7" s="4"/>
      <c r="J7" s="2"/>
      <c r="K7" s="6" t="s">
        <v>9</v>
      </c>
    </row>
    <row r="8">
      <c r="B8" s="2" t="str">
        <f t="shared" si="1"/>
        <v/>
      </c>
      <c r="C8" s="5"/>
      <c r="D8" s="2"/>
      <c r="E8" s="2"/>
      <c r="F8" s="2"/>
      <c r="G8" s="2"/>
      <c r="H8" s="2"/>
      <c r="I8" s="4"/>
      <c r="J8" s="2"/>
    </row>
    <row r="9">
      <c r="B9" s="2" t="str">
        <f t="shared" si="1"/>
        <v/>
      </c>
      <c r="C9" s="5"/>
      <c r="D9" s="2"/>
      <c r="E9" s="2"/>
      <c r="F9" s="2"/>
      <c r="G9" s="2"/>
      <c r="H9" s="2"/>
      <c r="I9" s="4"/>
      <c r="J9" s="2"/>
    </row>
    <row r="10">
      <c r="B10" s="2" t="str">
        <f t="shared" si="1"/>
        <v/>
      </c>
      <c r="C10" s="5"/>
      <c r="D10" s="2"/>
      <c r="E10" s="2"/>
      <c r="F10" s="2"/>
      <c r="G10" s="2"/>
      <c r="H10" s="2"/>
      <c r="I10" s="4"/>
      <c r="J10" s="2"/>
    </row>
    <row r="11">
      <c r="B11" s="2" t="str">
        <f t="shared" si="1"/>
        <v/>
      </c>
      <c r="C11" s="4"/>
      <c r="D11" s="7"/>
      <c r="E11" s="2"/>
      <c r="F11" s="2"/>
      <c r="G11" s="2"/>
      <c r="H11" s="2"/>
      <c r="I11" s="4"/>
      <c r="J11" s="2"/>
    </row>
    <row r="12">
      <c r="B12" s="2" t="str">
        <f t="shared" si="1"/>
        <v/>
      </c>
      <c r="C12" s="4"/>
      <c r="D12" s="2"/>
      <c r="E12" s="2"/>
      <c r="F12" s="2"/>
      <c r="G12" s="2"/>
      <c r="H12" s="2"/>
      <c r="I12" s="4"/>
      <c r="J12" s="2"/>
    </row>
    <row r="13">
      <c r="B13" s="2" t="str">
        <f t="shared" si="1"/>
        <v/>
      </c>
      <c r="C13" s="4"/>
      <c r="D13" s="2"/>
      <c r="E13" s="2"/>
      <c r="F13" s="2"/>
      <c r="G13" s="2"/>
      <c r="H13" s="2"/>
      <c r="I13" s="4"/>
      <c r="J13" s="2"/>
    </row>
    <row r="14">
      <c r="B14" s="2" t="str">
        <f t="shared" si="1"/>
        <v/>
      </c>
      <c r="C14" s="4"/>
      <c r="D14" s="2"/>
      <c r="E14" s="2"/>
      <c r="F14" s="2"/>
      <c r="G14" s="2"/>
      <c r="H14" s="2"/>
      <c r="I14" s="4"/>
      <c r="J14" s="2"/>
    </row>
    <row r="21">
      <c r="B21" s="8" t="s">
        <v>10</v>
      </c>
      <c r="C21" s="8" t="s">
        <v>11</v>
      </c>
    </row>
    <row r="22">
      <c r="B22" s="8" t="s">
        <v>12</v>
      </c>
      <c r="C22" s="8" t="s">
        <v>13</v>
      </c>
    </row>
  </sheetData>
  <hyperlinks>
    <hyperlink r:id="rId1" ref="K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3" ht="22.5" customHeight="1"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</row>
    <row r="4" ht="22.5" customHeight="1">
      <c r="B4" s="10">
        <v>45561.482827789354</v>
      </c>
      <c r="C4" s="11" t="s">
        <v>24</v>
      </c>
      <c r="D4" s="11">
        <v>24.0</v>
      </c>
      <c r="E4" s="11" t="s">
        <v>25</v>
      </c>
      <c r="F4" s="11" t="s">
        <v>26</v>
      </c>
      <c r="G4" s="12">
        <v>44927.0</v>
      </c>
      <c r="H4" s="12">
        <v>44930.0</v>
      </c>
      <c r="I4" s="11" t="s">
        <v>27</v>
      </c>
      <c r="J4" s="11">
        <v>2000.0</v>
      </c>
      <c r="K4" s="11">
        <v>10100.0</v>
      </c>
    </row>
    <row r="5" ht="22.5" customHeight="1">
      <c r="B5" s="10">
        <v>45561.48521424769</v>
      </c>
      <c r="C5" s="11" t="s">
        <v>28</v>
      </c>
      <c r="D5" s="11">
        <v>25.0</v>
      </c>
      <c r="E5" s="11" t="s">
        <v>29</v>
      </c>
      <c r="F5" s="11" t="s">
        <v>30</v>
      </c>
      <c r="G5" s="12">
        <v>44928.0</v>
      </c>
      <c r="H5" s="12">
        <v>44931.0</v>
      </c>
      <c r="I5" s="11" t="s">
        <v>31</v>
      </c>
      <c r="J5" s="11">
        <v>3000.0</v>
      </c>
      <c r="K5" s="11">
        <v>17400.0</v>
      </c>
    </row>
    <row r="6" ht="22.5" customHeight="1">
      <c r="B6" s="10">
        <v>45561.48652795139</v>
      </c>
      <c r="C6" s="11" t="s">
        <v>32</v>
      </c>
      <c r="D6" s="11">
        <v>26.0</v>
      </c>
      <c r="E6" s="11" t="s">
        <v>25</v>
      </c>
      <c r="F6" s="11" t="s">
        <v>33</v>
      </c>
      <c r="G6" s="12">
        <v>44929.0</v>
      </c>
      <c r="H6" s="12">
        <v>44932.0</v>
      </c>
      <c r="I6" s="11" t="s">
        <v>27</v>
      </c>
      <c r="J6" s="11">
        <v>5000.0</v>
      </c>
      <c r="K6" s="11">
        <v>30000.0</v>
      </c>
    </row>
    <row r="7" ht="22.5" customHeight="1">
      <c r="B7" s="10">
        <v>45561.48697915509</v>
      </c>
      <c r="C7" s="11" t="s">
        <v>11</v>
      </c>
      <c r="D7" s="11">
        <v>28.0</v>
      </c>
      <c r="E7" s="11" t="s">
        <v>29</v>
      </c>
      <c r="F7" s="11" t="s">
        <v>34</v>
      </c>
      <c r="G7" s="12">
        <v>44566.0</v>
      </c>
      <c r="H7" s="12">
        <v>44934.0</v>
      </c>
      <c r="I7" s="11" t="s">
        <v>35</v>
      </c>
      <c r="J7" s="11">
        <v>12000.0</v>
      </c>
      <c r="K7" s="11">
        <v>97100.0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3" t="str">
        <f>IFERROR(__xludf.DUMMYFUNCTION("QUERY(Sheet2!C4:I7, ""SELECT C, D, E, F, G WHERE C IS NOT NULL"", 1)"),"Jonah")</f>
        <v>Jonah</v>
      </c>
      <c r="C4" s="14" t="str">
        <f>IFERROR(__xludf.DUMMYFUNCTION("""COMPUTED_VALUE"""),"24")</f>
        <v>24</v>
      </c>
      <c r="D4" s="14" t="str">
        <f>IFERROR(__xludf.DUMMYFUNCTION("""COMPUTED_VALUE"""),"Female")</f>
        <v>Female</v>
      </c>
      <c r="E4" s="14" t="str">
        <f>IFERROR(__xludf.DUMMYFUNCTION("""COMPUTED_VALUE"""),"General Ward")</f>
        <v>General Ward</v>
      </c>
      <c r="F4" s="14" t="str">
        <f>IFERROR(__xludf.DUMMYFUNCTION("""COMPUTED_VALUE"""),"1/1/2023")</f>
        <v>1/1/2023</v>
      </c>
    </row>
    <row r="5">
      <c r="B5" s="14" t="str">
        <f>IFERROR(__xludf.DUMMYFUNCTION("""COMPUTED_VALUE"""),"John")</f>
        <v>John</v>
      </c>
      <c r="C5" s="14">
        <f>IFERROR(__xludf.DUMMYFUNCTION("""COMPUTED_VALUE"""),25.0)</f>
        <v>25</v>
      </c>
      <c r="D5" s="14" t="str">
        <f>IFERROR(__xludf.DUMMYFUNCTION("""COMPUTED_VALUE"""),"Male")</f>
        <v>Male</v>
      </c>
      <c r="E5" s="14" t="str">
        <f>IFERROR(__xludf.DUMMYFUNCTION("""COMPUTED_VALUE"""),"Multiple Sharing Ward")</f>
        <v>Multiple Sharing Ward</v>
      </c>
      <c r="F5" s="15">
        <f>IFERROR(__xludf.DUMMYFUNCTION("""COMPUTED_VALUE"""),44928.0)</f>
        <v>44928</v>
      </c>
    </row>
    <row r="6">
      <c r="B6" s="14" t="str">
        <f>IFERROR(__xludf.DUMMYFUNCTION("""COMPUTED_VALUE"""),"Jeremiah")</f>
        <v>Jeremiah</v>
      </c>
      <c r="C6" s="14">
        <f>IFERROR(__xludf.DUMMYFUNCTION("""COMPUTED_VALUE"""),26.0)</f>
        <v>26</v>
      </c>
      <c r="D6" s="14" t="str">
        <f>IFERROR(__xludf.DUMMYFUNCTION("""COMPUTED_VALUE"""),"Female")</f>
        <v>Female</v>
      </c>
      <c r="E6" s="14" t="str">
        <f>IFERROR(__xludf.DUMMYFUNCTION("""COMPUTED_VALUE"""),"Twin Sharing Ward")</f>
        <v>Twin Sharing Ward</v>
      </c>
      <c r="F6" s="15">
        <f>IFERROR(__xludf.DUMMYFUNCTION("""COMPUTED_VALUE"""),44929.0)</f>
        <v>44929</v>
      </c>
    </row>
    <row r="7">
      <c r="B7" s="14" t="str">
        <f>IFERROR(__xludf.DUMMYFUNCTION("""COMPUTED_VALUE"""),"James ")</f>
        <v>James </v>
      </c>
      <c r="C7" s="14">
        <f>IFERROR(__xludf.DUMMYFUNCTION("""COMPUTED_VALUE"""),28.0)</f>
        <v>28</v>
      </c>
      <c r="D7" s="14" t="str">
        <f>IFERROR(__xludf.DUMMYFUNCTION("""COMPUTED_VALUE"""),"Male")</f>
        <v>Male</v>
      </c>
      <c r="E7" s="14" t="str">
        <f>IFERROR(__xludf.DUMMYFUNCTION("""COMPUTED_VALUE"""),"Suite Ward")</f>
        <v>Suite Ward</v>
      </c>
      <c r="F7" s="15">
        <f>IFERROR(__xludf.DUMMYFUNCTION("""COMPUTED_VALUE"""),44566.0)</f>
        <v>44566</v>
      </c>
    </row>
    <row r="11">
      <c r="B11" s="8" t="s">
        <v>36</v>
      </c>
    </row>
    <row r="12">
      <c r="B12" s="8" t="s">
        <v>37</v>
      </c>
    </row>
    <row r="13">
      <c r="B13" s="8" t="s">
        <v>38</v>
      </c>
    </row>
    <row r="14">
      <c r="B14" s="8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75"/>
    <col customWidth="1" min="6" max="6" width="21.75"/>
    <col customWidth="1" min="7" max="7" width="17.5"/>
    <col customWidth="1" min="8" max="8" width="18.8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>
      <c r="B4" s="2" t="str">
        <f t="shared" ref="B4:B14" si="1">IF(C4&lt;&gt;"", "P" &amp; TEXT(ROW(B4)-3, "000"), "")</f>
        <v>#REF!</v>
      </c>
      <c r="C4" s="3" t="str">
        <f>IFERROR(__xludf.DUMMYFUNCTION("QUERY(IMPORTRANGE(""https://docs.google.com/spreadsheets/u/3/d/10gHUpMEW0hhX-4odgV1E55iVjjKV9zWepyzGIxDtof8/edit"",""SHEET1!B2:H17"")
)"),"#REF!")</f>
        <v>#REF!</v>
      </c>
      <c r="D4" s="2"/>
      <c r="E4" s="2"/>
      <c r="F4" s="2"/>
      <c r="G4" s="2"/>
      <c r="H4" s="2"/>
      <c r="I4" s="4"/>
      <c r="J4" s="2"/>
    </row>
    <row r="5">
      <c r="B5" s="2" t="str">
        <f t="shared" si="1"/>
        <v/>
      </c>
      <c r="C5" s="5"/>
      <c r="D5" s="2"/>
      <c r="E5" s="2"/>
      <c r="F5" s="2"/>
      <c r="G5" s="2"/>
      <c r="H5" s="2"/>
      <c r="I5" s="4"/>
      <c r="J5" s="2"/>
    </row>
    <row r="6">
      <c r="B6" s="2" t="str">
        <f t="shared" si="1"/>
        <v/>
      </c>
      <c r="C6" s="5"/>
      <c r="D6" s="2"/>
      <c r="E6" s="2"/>
      <c r="F6" s="2"/>
      <c r="G6" s="2"/>
      <c r="H6" s="2"/>
      <c r="I6" s="4"/>
      <c r="J6" s="2"/>
    </row>
    <row r="7">
      <c r="B7" s="2" t="str">
        <f t="shared" si="1"/>
        <v/>
      </c>
      <c r="C7" s="5"/>
      <c r="D7" s="2"/>
      <c r="E7" s="2"/>
      <c r="F7" s="2"/>
      <c r="G7" s="2"/>
      <c r="H7" s="2"/>
      <c r="I7" s="4"/>
      <c r="J7" s="2"/>
      <c r="K7" s="6" t="s">
        <v>9</v>
      </c>
    </row>
    <row r="8">
      <c r="B8" s="2" t="str">
        <f t="shared" si="1"/>
        <v/>
      </c>
      <c r="C8" s="5"/>
      <c r="D8" s="2"/>
      <c r="E8" s="2"/>
      <c r="F8" s="2"/>
      <c r="G8" s="2"/>
      <c r="H8" s="2"/>
      <c r="I8" s="4"/>
      <c r="J8" s="2"/>
    </row>
    <row r="9">
      <c r="B9" s="2" t="str">
        <f t="shared" si="1"/>
        <v/>
      </c>
      <c r="C9" s="5"/>
      <c r="D9" s="2"/>
      <c r="E9" s="2"/>
      <c r="F9" s="2"/>
      <c r="G9" s="2"/>
      <c r="H9" s="2"/>
      <c r="I9" s="4"/>
      <c r="J9" s="2"/>
    </row>
    <row r="10">
      <c r="B10" s="2" t="str">
        <f t="shared" si="1"/>
        <v/>
      </c>
      <c r="C10" s="5"/>
      <c r="D10" s="2"/>
      <c r="E10" s="2"/>
      <c r="F10" s="2"/>
      <c r="G10" s="2"/>
      <c r="H10" s="2"/>
      <c r="I10" s="4"/>
      <c r="J10" s="2"/>
    </row>
    <row r="11">
      <c r="B11" s="2" t="str">
        <f t="shared" si="1"/>
        <v/>
      </c>
      <c r="C11" s="4"/>
      <c r="D11" s="7"/>
      <c r="E11" s="2"/>
      <c r="F11" s="2"/>
      <c r="G11" s="2"/>
      <c r="H11" s="2"/>
      <c r="I11" s="4"/>
      <c r="J11" s="2"/>
    </row>
    <row r="12">
      <c r="B12" s="2" t="str">
        <f t="shared" si="1"/>
        <v/>
      </c>
      <c r="C12" s="4"/>
      <c r="D12" s="2"/>
      <c r="E12" s="2"/>
      <c r="F12" s="2"/>
      <c r="G12" s="2"/>
      <c r="H12" s="2"/>
      <c r="I12" s="4"/>
      <c r="J12" s="2"/>
    </row>
    <row r="13">
      <c r="B13" s="2" t="str">
        <f t="shared" si="1"/>
        <v/>
      </c>
      <c r="C13" s="4"/>
      <c r="D13" s="2"/>
      <c r="E13" s="2"/>
      <c r="F13" s="2"/>
      <c r="G13" s="2"/>
      <c r="H13" s="2"/>
      <c r="I13" s="4"/>
      <c r="J13" s="2"/>
    </row>
    <row r="14">
      <c r="B14" s="2" t="str">
        <f t="shared" si="1"/>
        <v/>
      </c>
      <c r="C14" s="4"/>
      <c r="D14" s="2"/>
      <c r="E14" s="2"/>
      <c r="F14" s="2"/>
      <c r="G14" s="2"/>
      <c r="H14" s="2"/>
      <c r="I14" s="4"/>
      <c r="J14" s="2"/>
    </row>
    <row r="21">
      <c r="B21" s="8" t="s">
        <v>10</v>
      </c>
      <c r="C21" s="8" t="s">
        <v>11</v>
      </c>
    </row>
    <row r="22">
      <c r="B22" s="8" t="s">
        <v>12</v>
      </c>
      <c r="C22" s="8" t="s">
        <v>13</v>
      </c>
    </row>
  </sheetData>
  <hyperlinks>
    <hyperlink r:id="rId1" ref="K7"/>
  </hyperlinks>
  <drawing r:id="rId2"/>
</worksheet>
</file>